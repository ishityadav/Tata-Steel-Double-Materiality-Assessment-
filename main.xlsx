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y Overview" sheetId="1" r:id="rId5"/>
    <sheet state="visible" name="Scoring Guide" sheetId="2" r:id="rId6"/>
    <sheet state="visible" name="ESG Topic List" sheetId="3" r:id="rId7"/>
    <sheet state="visible" name="Financial Materiality Scoring" sheetId="4" r:id="rId8"/>
    <sheet state="visible" name="Impact Materiality Scoring" sheetId="5" r:id="rId9"/>
    <sheet state="visible" name="Double Materiality Matrix" sheetId="6" r:id="rId10"/>
    <sheet state="visible" name="Matrix Chart" sheetId="7" r:id="rId11"/>
    <sheet state="visible" name="Dashboard" sheetId="8" r:id="rId12"/>
  </sheets>
  <definedNames/>
  <calcPr/>
</workbook>
</file>

<file path=xl/sharedStrings.xml><?xml version="1.0" encoding="utf-8"?>
<sst xmlns="http://schemas.openxmlformats.org/spreadsheetml/2006/main" count="254" uniqueCount="185">
  <si>
    <t>How to Score Each Variable (1 = lowest, 5 = highest)</t>
  </si>
  <si>
    <t>Double Materiality Assessment — Tata Steel Limited (Beginner Guide)</t>
  </si>
  <si>
    <t>Methodology: ESRS-style scoring using Likelihood, Magnitude, Scale, Scope and Irremediability (1-5 scale, scores combine to a 1-25 total)</t>
  </si>
  <si>
    <t>Likelihood — Used in both the Financial and Impact score. How probable is it that this risk or impact happens (or keeps happening)?</t>
  </si>
  <si>
    <t>Company Name</t>
  </si>
  <si>
    <t>Tata Steel Limited</t>
  </si>
  <si>
    <t>Sector</t>
  </si>
  <si>
    <t>Metals &amp; Mining — Iron &amp; Steel Manufacturing</t>
  </si>
  <si>
    <t>Headquarters</t>
  </si>
  <si>
    <t>Mumbai, India (part of the Tata Group)</t>
  </si>
  <si>
    <t>Score</t>
  </si>
  <si>
    <t>Business Model (simple)</t>
  </si>
  <si>
    <t>Tata Steel mines iron ore and coal, turns them into steel at large plants in India, the Netherlands and the UK, and sells steel to industries like construction, automotive and infrastructure. It is working to cut carbon emissions by shifting some plants toward electric-arc, scrap-based steelmaking.</t>
  </si>
  <si>
    <t>Key ESG Risks (industry-specific)</t>
  </si>
  <si>
    <t>Carbon-heavy steelmaking and climate transition costs; water use and effluents near plants; worker safety in mines and furnaces; land/community impact from mining; air pollution near plants; cybersecurity of plant operations; and business ethics in government contracting and mining licences.</t>
  </si>
  <si>
    <t>Meaning</t>
  </si>
  <si>
    <t>Topic ID</t>
  </si>
  <si>
    <t>Note</t>
  </si>
  <si>
    <t>Category (E/S/G)</t>
  </si>
  <si>
    <t>This is a simplified, beginner-level training file. Scores are illustrative (assigned using expert judgement for learning purposes), not Tata Steel's official disclosed figures. Re-check against the latest Tata Steel Integrated Report before using this for a real assessment.</t>
  </si>
  <si>
    <t>Topic Name</t>
  </si>
  <si>
    <t>Plain-English Description</t>
  </si>
  <si>
    <t>Very unlikely - rare, hypothetical</t>
  </si>
  <si>
    <t>T01</t>
  </si>
  <si>
    <t>Unlikely - could happen, but no clear signal yet</t>
  </si>
  <si>
    <t>E</t>
  </si>
  <si>
    <t>Climate Change (Scope 1 &amp; 2 GHG Emissions)</t>
  </si>
  <si>
    <t>Likelihood (1-5)</t>
  </si>
  <si>
    <t>Possible - plausible within the reporting horizon</t>
  </si>
  <si>
    <t>Magnitude (1-5)</t>
  </si>
  <si>
    <t>Carbon emissions from blast-furnace steelmaking, and exposure to carbon pricing/CBAM as regulations tighten.</t>
  </si>
  <si>
    <t>Financial Materiality Score (Likelihood x Magnitude)</t>
  </si>
  <si>
    <t>T02</t>
  </si>
  <si>
    <t>Why this score</t>
  </si>
  <si>
    <t>Likely - a clear trend/signal points this way</t>
  </si>
  <si>
    <t>Water Consumption &amp; Effluents</t>
  </si>
  <si>
    <t>How much water plants use and how clean the wastewater is when it leaves the plant.</t>
  </si>
  <si>
    <t>T03</t>
  </si>
  <si>
    <t>Air Emissions (Dust, SOx, NOx)</t>
  </si>
  <si>
    <t>Air pollution released from furnaces and coke ovens that can affect nearby communities.</t>
  </si>
  <si>
    <t>T04</t>
  </si>
  <si>
    <t>Biodiversity &amp; Mine Land Rehabilitation</t>
  </si>
  <si>
    <t>Effect of mining on forests and wildlife, and how well mined-out land is restored afterwards.</t>
  </si>
  <si>
    <t>Almost certain - already happening or locked in</t>
  </si>
  <si>
    <t>T05</t>
  </si>
  <si>
    <t>Energy Management (Coal Dependency)</t>
  </si>
  <si>
    <t>How much the company still relies on coal for energy versus renewable/cleaner sources.</t>
  </si>
  <si>
    <t>Magnitude — Used in the Financial score only. If it happens, how big is the financial hit (cost, fine, lost revenue)?</t>
  </si>
  <si>
    <t>T06</t>
  </si>
  <si>
    <t>S</t>
  </si>
  <si>
    <t>Occupational Health &amp; Safety</t>
  </si>
  <si>
    <t>Risk of injury or death to workers in mines, furnaces and heavy-machinery operations.</t>
  </si>
  <si>
    <t>T07</t>
  </si>
  <si>
    <t>Employee Diversity &amp; Inclusion</t>
  </si>
  <si>
    <t>How diverse the workforce is in a traditionally male-dominated heavy industry.</t>
  </si>
  <si>
    <t>T08</t>
  </si>
  <si>
    <t>Local Community Development &amp; Displacement</t>
  </si>
  <si>
    <t>Effect of mining and plant expansion on nearby communities, including land acquisition and resettlement.</t>
  </si>
  <si>
    <t>T09</t>
  </si>
  <si>
    <t>Product Quality &amp; Customer Safety</t>
  </si>
  <si>
    <t>Whether steel products meet safety and quality standards for construction and automotive use.</t>
  </si>
  <si>
    <t>Negligible cost - rounding error on the P&amp;L</t>
  </si>
  <si>
    <t>T10</t>
  </si>
  <si>
    <t>G</t>
  </si>
  <si>
    <t>Cybersecurity Resilience</t>
  </si>
  <si>
    <t>Risk of a cyberattack disrupting plant operations or exposing company/customer data.</t>
  </si>
  <si>
    <t>Minor - small, absorbable cost</t>
  </si>
  <si>
    <t>T11</t>
  </si>
  <si>
    <t>Business Ethics &amp; Anti-Corruption</t>
  </si>
  <si>
    <t>Risk of bribery or corruption in government contracts and mining-licence approvals.</t>
  </si>
  <si>
    <t>Moderate - noticeable line-item impact</t>
  </si>
  <si>
    <t>T12</t>
  </si>
  <si>
    <t>Board Governance &amp; Climate Oversight</t>
  </si>
  <si>
    <t>How well the board of directors oversees ESG and climate-related decisions.</t>
  </si>
  <si>
    <t>Major - material impact on margins/capital</t>
  </si>
  <si>
    <t>Severe - threatens solvency/business model</t>
  </si>
  <si>
    <t>Scale — Used in the Impact score only. How severe is the harm to people or the environment?</t>
  </si>
  <si>
    <t>Trivial harm</t>
  </si>
  <si>
    <t>Minor harm, easily tolerated</t>
  </si>
  <si>
    <t>Moderate harm</t>
  </si>
  <si>
    <t>Serious harm</t>
  </si>
  <si>
    <t>Grave / catastrophic harm</t>
  </si>
  <si>
    <t>Scope — Used in the Impact score only. How widespread is the harm - how many people or how much of the environment is affected?</t>
  </si>
  <si>
    <t>Affects almost no one</t>
  </si>
  <si>
    <t>Affects a small local group</t>
  </si>
  <si>
    <t>Affects a region / community</t>
  </si>
  <si>
    <t>Affects a large population / whole value chain</t>
  </si>
  <si>
    <t>Affects a huge population or the whole planet</t>
  </si>
  <si>
    <t>Carbon pricing (EU ETS/CBAM) is already expanding and would hit margins hard - almost certain and severe.</t>
  </si>
  <si>
    <t>Irremediability — Used in the Impact score only. How hard is it to undo the damage once it happens?</t>
  </si>
  <si>
    <t>Instantly and fully reversible</t>
  </si>
  <si>
    <t>Reversible with modest effort</t>
  </si>
  <si>
    <t>Reversible but slow / costly</t>
  </si>
  <si>
    <t>Very hard to reverse</t>
  </si>
  <si>
    <t>Permanent / impossible to reverse</t>
  </si>
  <si>
    <t>Formulas used in this workbook:</t>
  </si>
  <si>
    <t>Financial Materiality Score  =  Likelihood  x  Magnitude   (max 25)</t>
  </si>
  <si>
    <t>Impact Materiality Score  =  AVERAGE(Scale, Scope, Irremediability)  x  Likelihood   (max 25)</t>
  </si>
  <si>
    <t>Water-compliance investment is a plausible, moderate line-item cost.</t>
  </si>
  <si>
    <t>Materiality threshold  =  12.5 on each axis (Financial &gt;= 12.5 and/or Impact &gt;= 12.5)</t>
  </si>
  <si>
    <t>Air-quality upgrades and possible fines are a moderate, plausible cost.</t>
  </si>
  <si>
    <t>Fines for a contained biodiversity issue are unlikely and small relative to group finances.</t>
  </si>
  <si>
    <t>Coal price volatility and phase-down pressure are a likely, major cost driver.</t>
  </si>
  <si>
    <t>Safety incidents are a likely risk and can trigger major penalties and stoppages.</t>
  </si>
  <si>
    <t>DEI gaps mainly affect employer brand; unlikely and minor direct financial cost.</t>
  </si>
  <si>
    <t>Community disputes can plausibly delay projects at moderate cost.</t>
  </si>
  <si>
    <t>Product-quality failures are plausible and could cause major warranty/liability costs.</t>
  </si>
  <si>
    <t>Cyberattacks are near-certain in any given year and could cause major operational losses.</t>
  </si>
  <si>
    <t>A corruption finding is plausible and would carry a major fine/contract-loss risk.</t>
  </si>
  <si>
    <t>Scale (1-5)</t>
  </si>
  <si>
    <t>Scope (1-5)</t>
  </si>
  <si>
    <t>Irremediability (1-5)</t>
  </si>
  <si>
    <t>Step A: Average(Scale,Scope,Irrem.)</t>
  </si>
  <si>
    <t>Governance gaps are a slow-moving, minor cost to investor confidence.</t>
  </si>
  <si>
    <t>Step B: Impact Materiality Score (Average x Likelihood)</t>
  </si>
  <si>
    <t>Average</t>
  </si>
  <si>
    <t>Financial Score (X)</t>
  </si>
  <si>
    <t>Impact Score (Y)</t>
  </si>
  <si>
    <t>Materiality Category</t>
  </si>
  <si>
    <t>Emissions drive climate change - grave, widespread, hard to reverse, and happening every year.</t>
  </si>
  <si>
    <t>Water stress harms a regional community; recoverable with investment but not quickly.</t>
  </si>
  <si>
    <t>Air pollution seriously affects nearby residents but is reversible with abatement tech.</t>
  </si>
  <si>
    <t>Mining can permanently damage local ecosystems even though it is not group-wide in scope.</t>
  </si>
  <si>
    <t>Coal dependency has a moderate, regional climate contribution that is fairly reversible over time.</t>
  </si>
  <si>
    <t>A fatality/injury is grave for the worker and hard to reverse; safety incidents are a likely risk.</t>
  </si>
  <si>
    <t>Underrepresentation is a real but low-severity, easily reversible issue.</t>
  </si>
  <si>
    <t>Displacement causes serious, regional harm that is hard - though not impossible - to remedy.</t>
  </si>
  <si>
    <t>A product failure could seriously affect a limited set of customers, and is fixable via recalls/QA.</t>
  </si>
  <si>
    <t>A breach mainly inconveniences a limited set of customers and can be remediated.</t>
  </si>
  <si>
    <t>A corruption incident causes moderate, containable reputational/social harm.</t>
  </si>
  <si>
    <t>Weak board oversight is a low-severity, reversible structural gap.</t>
  </si>
  <si>
    <t>Executive Dashboard — Tata Steel Double Materiality</t>
  </si>
  <si>
    <t>Metric</t>
  </si>
  <si>
    <t>Value</t>
  </si>
  <si>
    <t>Formula Used</t>
  </si>
  <si>
    <t>Total ESG Topics Assessed</t>
  </si>
  <si>
    <t>COUNTA(ESG Topic List!A:A)</t>
  </si>
  <si>
    <t>Count: Double Material</t>
  </si>
  <si>
    <t>COUNTIF(...,"Double Material")</t>
  </si>
  <si>
    <t>Count: Impact-Only Material</t>
  </si>
  <si>
    <t>COUNTIF(...,"Impact-Only Material")</t>
  </si>
  <si>
    <t>Count: Financial-Only Material</t>
  </si>
  <si>
    <t>COUNTIF(...,"Financial-Only Material")</t>
  </si>
  <si>
    <t>Count: Not Material</t>
  </si>
  <si>
    <t>COUNTIF(...,"Not Material")</t>
  </si>
  <si>
    <t>Average Financial Score</t>
  </si>
  <si>
    <t>AVERAGE(Double Materiality Matrix!C:C)</t>
  </si>
  <si>
    <t>Average Impact Score</t>
  </si>
  <si>
    <t>AVERAGE(Double Materiality Matrix!D:D)</t>
  </si>
  <si>
    <t>Highest Financial Score</t>
  </si>
  <si>
    <t>Double Materiality Matrix - Scatter Data</t>
  </si>
  <si>
    <t>MAX(Double Materiality Matrix!C:C)</t>
  </si>
  <si>
    <t>Highest Impact Score</t>
  </si>
  <si>
    <t>Threshold X=12.5</t>
  </si>
  <si>
    <t>MAX(Double Materiality Matrix!D:D)</t>
  </si>
  <si>
    <t>Threshold Y=12.5</t>
  </si>
  <si>
    <t>Category Distribution</t>
  </si>
  <si>
    <t>Category</t>
  </si>
  <si>
    <t>Count</t>
  </si>
  <si>
    <t>Double Material</t>
  </si>
  <si>
    <t>Impact-Only Material</t>
  </si>
  <si>
    <t>Financial-Only Material</t>
  </si>
  <si>
    <t>Category Logic (threshold = 12.5 on each axis, scores run 1-25)</t>
  </si>
  <si>
    <t>Not Material</t>
  </si>
  <si>
    <t>Financial Score &gt;= 12.5 AND Impact Score &gt;= 12.5</t>
  </si>
  <si>
    <t>Impact Score &gt;= 12.5 AND Financial Score &lt; 12.5</t>
  </si>
  <si>
    <t>Financial Score &gt;= 12.5 AND Impact Score &lt; 12.5</t>
  </si>
  <si>
    <t>Financial Score &lt; 12.5 AND Impact Score &lt; 12.5</t>
  </si>
  <si>
    <t>Threshold X=12.5 (Start)</t>
  </si>
  <si>
    <t>Threshold X=12.5 (End)</t>
  </si>
  <si>
    <t>Threshold Y=12.5 (Start)</t>
  </si>
  <si>
    <t>Threshold Y=12.5 (End)</t>
  </si>
  <si>
    <t>Double Materiality Matrix — Quadrant Reference Guide (Threshold = 12.5)</t>
  </si>
  <si>
    <t>Quadrant II: Impact-Only Material</t>
  </si>
  <si>
    <t>Quadrant I: Double Material (Highest Priority)</t>
  </si>
  <si>
    <t>Impact Score ≥ 12.5  |  Financial Score &lt; 12.5</t>
  </si>
  <si>
    <t>Financial Score ≥ 12.5  |  Impact Score ≥ 12.5</t>
  </si>
  <si>
    <t>Key Focus: Environmental &amp; Social impacts</t>
  </si>
  <si>
    <t>Key Focus: Strategic ESG &amp; financial drivers</t>
  </si>
  <si>
    <t>Quadrant III: Not Material / Low Priority</t>
  </si>
  <si>
    <t>Quadrant IV: Financial-Only Material</t>
  </si>
  <si>
    <t>Financial Score &lt; 12.5  |  Impact Score &lt; 12.5</t>
  </si>
  <si>
    <t>Financial Score ≥ 12.5  |  Impact Score &lt; 12.5</t>
  </si>
  <si>
    <t>Key Focus: Baseline monitoring &amp; compliance</t>
  </si>
  <si>
    <t>Key Focus: Operational risk &amp; capital allocation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</si>
</sst>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2">
    <font>
      <sz val="11.0"/>
      <color theme="1"/>
      <name val="Calibri"/>
      <scheme val="minor"/>
    </font>
    <font>
      <b/>
      <sz val="16.0"/>
      <color rgb="FF1F3864"/>
      <name val="Arial"/>
    </font>
    <font>
      <i/>
      <sz val="10.0"/>
      <color rgb="FF595959"/>
      <name val="Arial"/>
    </font>
    <font>
      <b/>
      <sz val="11.0"/>
      <color theme="1"/>
      <name val="Arial"/>
    </font>
    <font>
      <b/>
      <sz val="10.0"/>
      <color rgb="FF1F3864"/>
      <name val="Arial"/>
    </font>
    <font>
      <sz val="10.0"/>
      <color theme="1"/>
      <name val="Arial"/>
    </font>
    <font/>
    <font>
      <b/>
      <sz val="11.0"/>
      <color rgb="FFFFFFFF"/>
      <name val="Arial"/>
    </font>
    <font>
      <i/>
      <sz val="9.0"/>
      <color theme="1"/>
      <name val="Arial"/>
    </font>
    <font>
      <i/>
      <sz val="9.0"/>
      <color rgb="FF808080"/>
      <name val="Arial"/>
    </font>
    <font>
      <sz val="10.0"/>
      <color rgb="FF006100"/>
      <name val="Arial"/>
    </font>
    <font>
      <sz val="10.0"/>
      <color rgb="FF0000FF"/>
      <name val="Arial"/>
    </font>
    <font>
      <i/>
      <sz val="10.0"/>
      <color theme="1"/>
      <name val="Arial"/>
    </font>
    <font>
      <b/>
      <sz val="12.0"/>
      <color rgb="FF1F3864"/>
      <name val="Arial"/>
    </font>
    <font>
      <b/>
      <sz val="10.0"/>
      <color rgb="FFFFFFFF"/>
      <name val="Arial"/>
    </font>
    <font>
      <b/>
      <sz val="10.0"/>
      <color theme="1"/>
      <name val="Arial"/>
    </font>
    <font>
      <b/>
      <sz val="9.0"/>
      <color theme="1"/>
      <name val="Arial"/>
    </font>
    <font>
      <sz val="9.0"/>
      <color theme="1"/>
      <name val="Arial"/>
    </font>
    <font>
      <b/>
      <sz val="10.0"/>
      <color rgb="FF164EA6"/>
      <name val="Arial"/>
    </font>
    <font>
      <b/>
      <sz val="10.0"/>
      <color rgb="FF137333"/>
      <name val="Arial"/>
    </font>
    <font>
      <i/>
      <sz val="9.0"/>
      <color rgb="FF1A73E8"/>
      <name val="Arial"/>
    </font>
    <font>
      <i/>
      <sz val="9.0"/>
      <color rgb="FF1E461F"/>
      <name val="Arial"/>
    </font>
    <font>
      <b/>
      <sz val="9.0"/>
      <color rgb="FF164EA6"/>
      <name val="Arial"/>
    </font>
    <font>
      <b/>
      <sz val="9.0"/>
      <color rgb="FF137333"/>
      <name val="Arial"/>
    </font>
    <font>
      <sz val="8.0"/>
      <color rgb="FF3B4043"/>
      <name val="Arial"/>
    </font>
    <font>
      <b/>
      <sz val="10.0"/>
      <color rgb="FF3B4043"/>
      <name val="Arial"/>
    </font>
    <font>
      <b/>
      <sz val="10.0"/>
      <color rgb="FF794100"/>
      <name val="Arial"/>
    </font>
    <font>
      <i/>
      <sz val="9.0"/>
      <color rgb="FF5F6268"/>
      <name val="Arial"/>
    </font>
    <font>
      <i/>
      <sz val="9.0"/>
      <color rgb="FFAF5F00"/>
      <name val="Arial"/>
    </font>
    <font>
      <b/>
      <sz val="9.0"/>
      <color rgb="FF3B4043"/>
      <name val="Arial"/>
    </font>
    <font>
      <b/>
      <sz val="9.0"/>
      <color rgb="FF794100"/>
      <name val="Arial"/>
    </font>
    <font>
      <sz val="8.0"/>
      <color rgb="FF5F6268"/>
      <name val="Arial"/>
    </font>
  </fonts>
  <fills count="15">
    <fill>
      <patternFill patternType="none"/>
    </fill>
    <fill>
      <patternFill patternType="lightGray"/>
    </fill>
    <fill>
      <patternFill patternType="solid">
        <fgColor rgb="FFD9E2F3"/>
        <bgColor rgb="FFD9E2F3"/>
      </patternFill>
    </fill>
    <fill>
      <patternFill patternType="solid">
        <fgColor rgb="FF1F3864"/>
        <bgColor rgb="FF1F3864"/>
      </patternFill>
    </fill>
    <fill>
      <patternFill patternType="solid">
        <fgColor rgb="FFC6E0B4"/>
        <bgColor rgb="FFC6E0B4"/>
      </patternFill>
    </fill>
    <fill>
      <patternFill patternType="solid">
        <fgColor rgb="FFF2F2F2"/>
        <bgColor rgb="FFF2F2F2"/>
      </patternFill>
    </fill>
    <fill>
      <patternFill patternType="solid">
        <fgColor rgb="FFFFF2CC"/>
        <bgColor rgb="FFFFF2CC"/>
      </patternFill>
    </fill>
    <fill>
      <patternFill patternType="solid">
        <fgColor rgb="FFFCE4D6"/>
        <bgColor rgb="FFFCE4D6"/>
      </patternFill>
    </fill>
    <fill>
      <patternFill patternType="solid">
        <fgColor rgb="FFF8CBAD"/>
        <bgColor rgb="FFF8CBAD"/>
      </patternFill>
    </fill>
    <fill>
      <patternFill patternType="solid">
        <fgColor rgb="FFBDD7EE"/>
        <bgColor rgb="FFBDD7EE"/>
      </patternFill>
    </fill>
    <fill>
      <patternFill patternType="solid">
        <fgColor rgb="FFF4F4F4"/>
        <bgColor rgb="FFF4F4F4"/>
      </patternFill>
    </fill>
    <fill>
      <patternFill patternType="solid">
        <fgColor rgb="FFE8EFFD"/>
        <bgColor rgb="FFE8EFFD"/>
      </patternFill>
    </fill>
    <fill>
      <patternFill patternType="solid">
        <fgColor rgb="FFE6F4EA"/>
        <bgColor rgb="FFE6F4EA"/>
      </patternFill>
    </fill>
    <fill>
      <patternFill patternType="solid">
        <fgColor rgb="FFF0F3F4"/>
        <bgColor rgb="FFF0F3F4"/>
      </patternFill>
    </fill>
    <fill>
      <patternFill patternType="solid">
        <fgColor rgb="FFFDF7DF"/>
        <bgColor rgb="FFFDF7DF"/>
      </patternFill>
    </fill>
  </fills>
  <borders count="34">
    <border/>
    <border>
      <left style="thin">
        <color rgb="FFBFBFBF"/>
      </left>
      <right style="thin">
        <color rgb="FFBFBFBF"/>
      </right>
      <top style="thin">
        <color rgb="FFBFBFBF"/>
      </top>
      <bottom style="thin">
        <color rgb="FFBFBFBF"/>
      </bottom>
    </border>
    <border>
      <left/>
      <top/>
      <bottom/>
    </border>
    <border>
      <top/>
      <bottom/>
    </border>
    <border>
      <right/>
      <top/>
      <bottom/>
    </border>
    <border>
      <left style="thin">
        <color rgb="FF1F3863"/>
      </left>
      <top style="thin">
        <color rgb="FF1F3863"/>
      </top>
    </border>
    <border>
      <top style="thin">
        <color rgb="FF1F3863"/>
      </top>
    </border>
    <border>
      <right style="thin">
        <color rgb="FF1F3863"/>
      </right>
      <top style="thin">
        <color rgb="FF1F3863"/>
      </top>
    </border>
    <border>
      <left style="medium">
        <color rgb="FF4285F4"/>
      </left>
      <top style="medium">
        <color rgb="FF4285F4"/>
      </top>
    </border>
    <border>
      <top style="medium">
        <color rgb="FF4285F4"/>
      </top>
    </border>
    <border>
      <right style="medium">
        <color rgb="FF4285F4"/>
      </right>
      <top style="medium">
        <color rgb="FF4285F4"/>
      </top>
    </border>
    <border>
      <left style="medium">
        <color rgb="FF34A852"/>
      </left>
      <top style="medium">
        <color rgb="FF34A852"/>
      </top>
    </border>
    <border>
      <top style="medium">
        <color rgb="FF34A852"/>
      </top>
    </border>
    <border>
      <right style="medium">
        <color rgb="FF34A852"/>
      </right>
      <top style="medium">
        <color rgb="FF34A852"/>
      </top>
    </border>
    <border>
      <left style="medium">
        <color rgb="FF4285F4"/>
      </left>
    </border>
    <border>
      <right style="medium">
        <color rgb="FF4285F4"/>
      </right>
    </border>
    <border>
      <left style="medium">
        <color rgb="FF34A852"/>
      </left>
    </border>
    <border>
      <right style="medium">
        <color rgb="FF34A852"/>
      </right>
    </border>
    <border>
      <left style="medium">
        <color rgb="FFBCC1C5"/>
      </left>
      <top style="medium">
        <color rgb="FFBCC1C5"/>
      </top>
    </border>
    <border>
      <top style="medium">
        <color rgb="FFBCC1C5"/>
      </top>
    </border>
    <border>
      <right style="medium">
        <color rgb="FFBCC1C5"/>
      </right>
      <top style="medium">
        <color rgb="FFBCC1C5"/>
      </top>
    </border>
    <border>
      <left style="medium">
        <color rgb="FFFABB04"/>
      </left>
      <top style="medium">
        <color rgb="FFFABB04"/>
      </top>
    </border>
    <border>
      <top style="medium">
        <color rgb="FFFABB04"/>
      </top>
    </border>
    <border>
      <right style="medium">
        <color rgb="FFFABB04"/>
      </right>
      <top style="medium">
        <color rgb="FFFABB04"/>
      </top>
    </border>
    <border>
      <left style="medium">
        <color rgb="FFBCC1C5"/>
      </left>
    </border>
    <border>
      <right style="medium">
        <color rgb="FFBCC1C5"/>
      </right>
    </border>
    <border>
      <left style="medium">
        <color rgb="FFFABB04"/>
      </left>
    </border>
    <border>
      <right style="medium">
        <color rgb="FFFABB04"/>
      </right>
    </border>
    <border>
      <left style="medium">
        <color rgb="FFBCC1C5"/>
      </left>
      <bottom style="medium">
        <color rgb="FFBCC1C5"/>
      </bottom>
    </border>
    <border>
      <bottom style="medium">
        <color rgb="FFBCC1C5"/>
      </bottom>
    </border>
    <border>
      <right style="medium">
        <color rgb="FFBCC1C5"/>
      </right>
      <bottom style="medium">
        <color rgb="FFBCC1C5"/>
      </bottom>
    </border>
    <border>
      <left style="medium">
        <color rgb="FFFABB04"/>
      </left>
      <bottom style="medium">
        <color rgb="FFFABB04"/>
      </bottom>
    </border>
    <border>
      <bottom style="medium">
        <color rgb="FFFABB04"/>
      </bottom>
    </border>
    <border>
      <right style="medium">
        <color rgb="FFFABB04"/>
      </right>
      <bottom style="medium">
        <color rgb="FFFABB04"/>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shrinkToFit="0" vertical="top" wrapText="1"/>
    </xf>
    <xf borderId="2" fillId="2" fontId="4" numFmtId="0" xfId="0" applyAlignment="1" applyBorder="1" applyFill="1" applyFont="1">
      <alignment shrinkToFit="0" vertical="top" wrapText="1"/>
    </xf>
    <xf borderId="1" fillId="0" fontId="5" numFmtId="0" xfId="0" applyAlignment="1" applyBorder="1" applyFont="1">
      <alignment shrinkToFit="0" vertical="top" wrapText="1"/>
    </xf>
    <xf borderId="3" fillId="0" fontId="6" numFmtId="0" xfId="0" applyBorder="1" applyFont="1"/>
    <xf borderId="4" fillId="0" fontId="6" numFmtId="0" xfId="0" applyBorder="1" applyFont="1"/>
    <xf borderId="1" fillId="3" fontId="7" numFmtId="0" xfId="0" applyAlignment="1" applyBorder="1" applyFill="1" applyFont="1">
      <alignment horizontal="center" shrinkToFit="0" vertical="center" wrapText="1"/>
    </xf>
    <xf borderId="0" fillId="0" fontId="8" numFmtId="0" xfId="0" applyAlignment="1" applyFont="1">
      <alignment shrinkToFit="0" vertical="bottom" wrapText="0"/>
    </xf>
    <xf borderId="1" fillId="4" fontId="3" numFmtId="0" xfId="0" applyAlignment="1" applyBorder="1" applyFill="1" applyFont="1">
      <alignment horizontal="center" shrinkToFit="0" vertical="center" wrapText="0"/>
    </xf>
    <xf borderId="0" fillId="0" fontId="9" numFmtId="0" xfId="0" applyAlignment="1" applyFont="1">
      <alignment shrinkToFit="0" vertical="top" wrapText="1"/>
    </xf>
    <xf borderId="1" fillId="5" fontId="5" numFmtId="0" xfId="0" applyAlignment="1" applyBorder="1" applyFill="1" applyFont="1">
      <alignment horizontal="center" shrinkToFit="0" vertical="center" wrapText="0"/>
    </xf>
    <xf borderId="1" fillId="6" fontId="3" numFmtId="0" xfId="0" applyAlignment="1" applyBorder="1" applyFill="1" applyFont="1">
      <alignment horizontal="center" shrinkToFit="0" vertical="center" wrapText="0"/>
    </xf>
    <xf borderId="1" fillId="5" fontId="5" numFmtId="0" xfId="0" applyAlignment="1" applyBorder="1" applyFill="1" applyFont="1">
      <alignment shrinkToFit="0" vertical="top" wrapText="1"/>
    </xf>
    <xf borderId="1" fillId="7" fontId="3" numFmtId="0" xfId="0" applyAlignment="1" applyBorder="1" applyFill="1" applyFont="1">
      <alignment horizontal="center" shrinkToFit="0" vertical="center" wrapText="0"/>
    </xf>
    <xf borderId="1" fillId="0" fontId="5" numFmtId="0" xfId="0" applyAlignment="1" applyBorder="1" applyFont="1">
      <alignment horizontal="center" shrinkToFit="0" vertical="center" wrapText="0"/>
    </xf>
    <xf borderId="1" fillId="8" fontId="3" numFmtId="0" xfId="0" applyAlignment="1" applyBorder="1" applyFill="1" applyFont="1">
      <alignment horizontal="center" shrinkToFit="0" vertical="center" wrapText="0"/>
    </xf>
    <xf borderId="1" fillId="5" fontId="10" numFmtId="0" xfId="0" applyAlignment="1" applyBorder="1" applyFill="1" applyFont="1">
      <alignment shrinkToFit="0" vertical="top" wrapText="1"/>
    </xf>
    <xf borderId="1" fillId="5" fontId="11" numFmtId="0" xfId="0" applyAlignment="1" applyBorder="1" applyFill="1" applyFont="1">
      <alignment horizontal="center" shrinkToFit="0" vertical="center" wrapText="0"/>
    </xf>
    <xf borderId="1" fillId="5" fontId="3" numFmtId="1" xfId="0" applyAlignment="1" applyBorder="1" applyFill="1" applyFont="1" applyNumberFormat="1">
      <alignment horizontal="center" shrinkToFit="0" vertical="center" wrapText="0"/>
    </xf>
    <xf borderId="1" fillId="5" fontId="8" numFmtId="0" xfId="0" applyAlignment="1" applyBorder="1" applyFill="1" applyFont="1">
      <alignment shrinkToFit="0" vertical="top" wrapText="1"/>
    </xf>
    <xf borderId="1" fillId="0" fontId="10" numFmtId="0" xfId="0" applyAlignment="1" applyBorder="1" applyFont="1">
      <alignment shrinkToFit="0" vertical="top" wrapText="1"/>
    </xf>
    <xf borderId="0" fillId="0" fontId="4" numFmtId="0" xfId="0" applyAlignment="1" applyFont="1">
      <alignment shrinkToFit="0" vertical="bottom" wrapText="0"/>
    </xf>
    <xf borderId="1" fillId="6" fontId="11" numFmtId="0" xfId="0" applyAlignment="1" applyBorder="1" applyFill="1" applyFont="1">
      <alignment horizontal="center" shrinkToFit="0" vertical="center" wrapText="0"/>
    </xf>
    <xf borderId="0" fillId="0" fontId="12" numFmtId="0" xfId="0" applyAlignment="1" applyFont="1">
      <alignment shrinkToFit="0" vertical="bottom" wrapText="0"/>
    </xf>
    <xf borderId="1" fillId="4" fontId="3" numFmtId="1" xfId="0" applyAlignment="1" applyBorder="1" applyFill="1" applyFont="1" applyNumberFormat="1">
      <alignment horizontal="center" shrinkToFit="0" vertical="center" wrapText="0"/>
    </xf>
    <xf borderId="1" fillId="0" fontId="8" numFmtId="0" xfId="0" applyAlignment="1" applyBorder="1" applyFont="1">
      <alignment shrinkToFit="0" vertical="top" wrapText="1"/>
    </xf>
    <xf borderId="0" fillId="0" fontId="12" numFmtId="0" xfId="0" applyAlignment="1" applyFont="1">
      <alignment readingOrder="0" shrinkToFit="0" vertical="bottom" wrapText="0"/>
    </xf>
    <xf borderId="1" fillId="2" fontId="3" numFmtId="0" xfId="0" applyAlignment="1" applyBorder="1" applyFill="1" applyFont="1">
      <alignment horizontal="center" shrinkToFit="0" vertical="center" wrapText="0"/>
    </xf>
    <xf borderId="1" fillId="2" fontId="3" numFmtId="164" xfId="0" applyAlignment="1" applyBorder="1" applyFill="1" applyFont="1" applyNumberFormat="1">
      <alignment horizontal="center" shrinkToFit="0" vertical="center" wrapText="0"/>
    </xf>
    <xf borderId="1" fillId="5" fontId="3" numFmtId="2" xfId="0" applyAlignment="1" applyBorder="1" applyFill="1" applyFont="1" applyNumberFormat="1">
      <alignment horizontal="center" shrinkToFit="0" vertical="center" wrapText="0"/>
    </xf>
    <xf borderId="1" fillId="5" fontId="10" numFmtId="164" xfId="0" applyAlignment="1" applyBorder="1" applyFill="1" applyFont="1" applyNumberFormat="1">
      <alignment horizontal="center" shrinkToFit="0" vertical="center" wrapText="0"/>
    </xf>
    <xf borderId="1" fillId="9" fontId="3" numFmtId="2" xfId="0" applyAlignment="1" applyBorder="1" applyFill="1" applyFont="1" applyNumberFormat="1">
      <alignment horizontal="center" shrinkToFit="0" vertical="center" wrapText="0"/>
    </xf>
    <xf borderId="1" fillId="4" fontId="3" numFmtId="2" xfId="0" applyAlignment="1" applyBorder="1" applyFill="1" applyFont="1" applyNumberFormat="1">
      <alignment horizontal="center" shrinkToFit="0" vertical="center" wrapText="0"/>
    </xf>
    <xf borderId="1" fillId="5" fontId="10" numFmtId="2" xfId="0" applyAlignment="1" applyBorder="1" applyFill="1" applyFont="1" applyNumberFormat="1">
      <alignment horizontal="center" shrinkToFit="0" vertical="center" wrapText="0"/>
    </xf>
    <xf borderId="1" fillId="5" fontId="3" numFmtId="0" xfId="0" applyAlignment="1" applyBorder="1" applyFill="1" applyFont="1">
      <alignment horizontal="center" shrinkToFit="0" vertical="center" wrapText="0"/>
    </xf>
    <xf borderId="1" fillId="0" fontId="10" numFmtId="164" xfId="0" applyAlignment="1" applyBorder="1" applyFont="1" applyNumberFormat="1">
      <alignment horizontal="center" shrinkToFit="0" vertical="center" wrapText="0"/>
    </xf>
    <xf borderId="1" fillId="0" fontId="10" numFmtId="2" xfId="0" applyAlignment="1" applyBorder="1" applyFont="1" applyNumberFormat="1">
      <alignment horizontal="center" shrinkToFit="0" vertical="center" wrapText="0"/>
    </xf>
    <xf borderId="1" fillId="0" fontId="3" numFmtId="0" xfId="0" applyAlignment="1" applyBorder="1" applyFont="1">
      <alignment horizontal="center" shrinkToFit="0" vertical="center" wrapText="0"/>
    </xf>
    <xf borderId="1" fillId="2" fontId="3" numFmtId="2" xfId="0" applyAlignment="1" applyBorder="1" applyFill="1" applyFont="1" applyNumberFormat="1">
      <alignment horizontal="center" shrinkToFit="0" vertical="center" wrapText="0"/>
    </xf>
    <xf borderId="1" fillId="4" fontId="13" numFmtId="1" xfId="0" applyAlignment="1" applyBorder="1" applyFill="1" applyFont="1" applyNumberFormat="1">
      <alignment horizontal="center" shrinkToFit="0" vertical="center" wrapText="0"/>
    </xf>
    <xf borderId="1" fillId="4" fontId="13" numFmtId="2" xfId="0" applyAlignment="1" applyBorder="1" applyFill="1" applyFont="1" applyNumberFormat="1">
      <alignment horizontal="center" shrinkToFit="0" vertical="center" wrapText="0"/>
    </xf>
    <xf borderId="0" fillId="0" fontId="13" numFmtId="0" xfId="0" applyAlignment="1" applyFont="1">
      <alignment shrinkToFit="0" vertical="bottom" wrapText="0"/>
    </xf>
    <xf borderId="1" fillId="3" fontId="14" numFmtId="0" xfId="0" applyAlignment="1" applyBorder="1" applyFill="1" applyFont="1">
      <alignment horizontal="center" readingOrder="0" shrinkToFit="0" vertical="center" wrapText="1"/>
    </xf>
    <xf borderId="1" fillId="0" fontId="5" numFmtId="0" xfId="0" applyAlignment="1" applyBorder="1" applyFont="1">
      <alignment horizontal="left" shrinkToFit="0" vertical="center" wrapText="1"/>
    </xf>
    <xf borderId="1" fillId="0" fontId="5" numFmtId="1" xfId="0" applyAlignment="1" applyBorder="1" applyFont="1" applyNumberFormat="1">
      <alignment horizontal="center" shrinkToFit="0" vertical="center" wrapText="0"/>
    </xf>
    <xf borderId="1" fillId="0" fontId="5" numFmtId="164" xfId="0" applyAlignment="1" applyBorder="1" applyFont="1" applyNumberFormat="1">
      <alignment horizontal="center" shrinkToFit="0" vertical="center" wrapText="0"/>
    </xf>
    <xf borderId="0" fillId="0" fontId="15" numFmtId="0" xfId="0" applyAlignment="1" applyFont="1">
      <alignment readingOrder="0" shrinkToFit="0" vertical="bottom" wrapText="0"/>
    </xf>
    <xf borderId="1" fillId="0" fontId="5" numFmtId="2" xfId="0" applyAlignment="1" applyBorder="1" applyFont="1" applyNumberFormat="1">
      <alignment horizontal="center" shrinkToFit="0" vertical="center" wrapText="0"/>
    </xf>
    <xf borderId="0" fillId="0" fontId="16" numFmtId="0" xfId="0" applyAlignment="1" applyFont="1">
      <alignment readingOrder="0" shrinkToFit="0" vertical="bottom" wrapText="0"/>
    </xf>
    <xf borderId="1" fillId="0" fontId="5" numFmtId="164" xfId="0" applyAlignment="1" applyBorder="1" applyFont="1" applyNumberFormat="1">
      <alignment horizontal="center" vertical="center"/>
    </xf>
    <xf borderId="0" fillId="0" fontId="17" numFmtId="0" xfId="0" applyAlignment="1" applyFont="1">
      <alignment readingOrder="0" shrinkToFit="0" vertical="bottom" wrapText="0"/>
    </xf>
    <xf borderId="1" fillId="5" fontId="5" numFmtId="0" xfId="0" applyAlignment="1" applyBorder="1" applyFill="1" applyFont="1">
      <alignment horizontal="left" shrinkToFit="0" vertical="center" wrapText="1"/>
    </xf>
    <xf borderId="1" fillId="5" fontId="5" numFmtId="164" xfId="0" applyAlignment="1" applyBorder="1" applyFill="1" applyFont="1" applyNumberFormat="1">
      <alignment horizontal="center" shrinkToFit="0" vertical="center" wrapText="0"/>
    </xf>
    <xf borderId="1" fillId="5" fontId="5" numFmtId="2" xfId="0" applyAlignment="1" applyBorder="1" applyFill="1" applyFont="1" applyNumberFormat="1">
      <alignment horizontal="center" shrinkToFit="0" vertical="center" wrapText="0"/>
    </xf>
    <xf borderId="1" fillId="10" fontId="5" numFmtId="0" xfId="0" applyAlignment="1" applyBorder="1" applyFill="1" applyFont="1">
      <alignment horizontal="left" readingOrder="0" vertical="center"/>
    </xf>
    <xf borderId="1" fillId="10" fontId="5" numFmtId="164" xfId="0" applyAlignment="1" applyBorder="1" applyFill="1" applyFont="1" applyNumberFormat="1">
      <alignment horizontal="right" readingOrder="0" vertical="center"/>
    </xf>
    <xf borderId="1" fillId="10" fontId="5" numFmtId="2" xfId="0" applyAlignment="1" applyBorder="1" applyFill="1" applyFont="1" applyNumberFormat="1">
      <alignment horizontal="center" vertical="center"/>
    </xf>
    <xf borderId="1" fillId="10" fontId="5" numFmtId="164" xfId="0" applyAlignment="1" applyBorder="1" applyFill="1" applyFont="1" applyNumberFormat="1">
      <alignment horizontal="right" vertical="center"/>
    </xf>
    <xf borderId="5" fillId="3" fontId="7" numFmtId="0" xfId="0" applyAlignment="1" applyBorder="1" applyFill="1" applyFont="1">
      <alignment horizontal="center" readingOrder="0" vertical="center"/>
    </xf>
    <xf borderId="6" fillId="0" fontId="6" numFmtId="0" xfId="0" applyBorder="1" applyFont="1"/>
    <xf borderId="7" fillId="0" fontId="6" numFmtId="0" xfId="0" applyBorder="1" applyFont="1"/>
    <xf borderId="8" fillId="11" fontId="18" numFmtId="0" xfId="0" applyAlignment="1" applyBorder="1" applyFill="1" applyFont="1">
      <alignment horizontal="center" readingOrder="0" vertical="center"/>
    </xf>
    <xf borderId="9" fillId="0" fontId="6" numFmtId="0" xfId="0" applyBorder="1" applyFont="1"/>
    <xf borderId="10" fillId="0" fontId="6" numFmtId="0" xfId="0" applyBorder="1" applyFont="1"/>
    <xf borderId="11" fillId="12" fontId="19" numFmtId="0" xfId="0" applyAlignment="1" applyBorder="1" applyFill="1" applyFont="1">
      <alignment horizontal="center" readingOrder="0" vertical="center"/>
    </xf>
    <xf borderId="12" fillId="0" fontId="6" numFmtId="0" xfId="0" applyBorder="1" applyFont="1"/>
    <xf borderId="13" fillId="0" fontId="6" numFmtId="0" xfId="0" applyBorder="1" applyFont="1"/>
    <xf borderId="14" fillId="11" fontId="20" numFmtId="0" xfId="0" applyAlignment="1" applyBorder="1" applyFill="1" applyFont="1">
      <alignment horizontal="center" readingOrder="0" vertical="center"/>
    </xf>
    <xf borderId="15" fillId="0" fontId="6" numFmtId="0" xfId="0" applyBorder="1" applyFont="1"/>
    <xf borderId="16" fillId="12" fontId="21" numFmtId="0" xfId="0" applyAlignment="1" applyBorder="1" applyFill="1" applyFont="1">
      <alignment horizontal="center" readingOrder="0" vertical="center"/>
    </xf>
    <xf borderId="17" fillId="0" fontId="6" numFmtId="0" xfId="0" applyBorder="1" applyFont="1"/>
    <xf borderId="14" fillId="11" fontId="22" numFmtId="0" xfId="0" applyAlignment="1" applyBorder="1" applyFill="1" applyFont="1">
      <alignment horizontal="center" vertical="center"/>
    </xf>
    <xf borderId="16" fillId="12" fontId="23" numFmtId="0" xfId="0" applyAlignment="1" applyBorder="1" applyFill="1" applyFont="1">
      <alignment horizontal="center" vertical="center"/>
    </xf>
    <xf borderId="14" fillId="11" fontId="24" numFmtId="0" xfId="0" applyAlignment="1" applyBorder="1" applyFill="1" applyFont="1">
      <alignment horizontal="center" readingOrder="0" vertical="center"/>
    </xf>
    <xf borderId="16" fillId="12" fontId="24" numFmtId="0" xfId="0" applyAlignment="1" applyBorder="1" applyFill="1" applyFont="1">
      <alignment horizontal="center" readingOrder="0" vertical="center"/>
    </xf>
    <xf borderId="18" fillId="13" fontId="25" numFmtId="0" xfId="0" applyAlignment="1" applyBorder="1" applyFill="1" applyFont="1">
      <alignment horizontal="center" readingOrder="0" vertical="center"/>
    </xf>
    <xf borderId="19" fillId="0" fontId="6" numFmtId="0" xfId="0" applyBorder="1" applyFont="1"/>
    <xf borderId="20" fillId="0" fontId="6" numFmtId="0" xfId="0" applyBorder="1" applyFont="1"/>
    <xf borderId="21" fillId="14" fontId="26" numFmtId="0" xfId="0" applyAlignment="1" applyBorder="1" applyFill="1" applyFont="1">
      <alignment horizontal="center" readingOrder="0" vertical="center"/>
    </xf>
    <xf borderId="22" fillId="0" fontId="6" numFmtId="0" xfId="0" applyBorder="1" applyFont="1"/>
    <xf borderId="23" fillId="0" fontId="6" numFmtId="0" xfId="0" applyBorder="1" applyFont="1"/>
    <xf borderId="24" fillId="13" fontId="27" numFmtId="0" xfId="0" applyAlignment="1" applyBorder="1" applyFill="1" applyFont="1">
      <alignment horizontal="center" readingOrder="0" vertical="center"/>
    </xf>
    <xf borderId="25" fillId="0" fontId="6" numFmtId="0" xfId="0" applyBorder="1" applyFont="1"/>
    <xf borderId="26" fillId="14" fontId="28" numFmtId="0" xfId="0" applyAlignment="1" applyBorder="1" applyFill="1" applyFont="1">
      <alignment horizontal="center" readingOrder="0" vertical="center"/>
    </xf>
    <xf borderId="27" fillId="0" fontId="6" numFmtId="0" xfId="0" applyBorder="1" applyFont="1"/>
    <xf borderId="24" fillId="13" fontId="29" numFmtId="0" xfId="0" applyAlignment="1" applyBorder="1" applyFill="1" applyFont="1">
      <alignment horizontal="center" vertical="center"/>
    </xf>
    <xf borderId="26" fillId="14" fontId="30" numFmtId="0" xfId="0" applyAlignment="1" applyBorder="1" applyFill="1" applyFont="1">
      <alignment horizontal="center" vertical="center"/>
    </xf>
    <xf borderId="28" fillId="13" fontId="31" numFmtId="0" xfId="0" applyAlignment="1" applyBorder="1" applyFill="1" applyFont="1">
      <alignment horizontal="center" readingOrder="0" vertical="center"/>
    </xf>
    <xf borderId="29" fillId="0" fontId="6" numFmtId="0" xfId="0" applyBorder="1" applyFont="1"/>
    <xf borderId="30" fillId="0" fontId="6" numFmtId="0" xfId="0" applyBorder="1" applyFont="1"/>
    <xf borderId="31" fillId="14" fontId="24" numFmtId="0" xfId="0" applyAlignment="1" applyBorder="1" applyFill="1" applyFont="1">
      <alignment horizontal="center" readingOrder="0" vertical="center"/>
    </xf>
    <xf borderId="32" fillId="0" fontId="6" numFmtId="0" xfId="0" applyBorder="1" applyFont="1"/>
    <xf borderId="33" fillId="0" fontId="6" numFmtId="0" xfId="0" applyBorder="1" applyFont="1"/>
  </cellXfs>
  <cellStyles count="1">
    <cellStyle xfId="0" name="Normal" builtinId="0"/>
  </cellStyles>
  <dxfs count="4">
    <dxf>
      <font/>
      <fill>
        <patternFill patternType="solid">
          <fgColor rgb="FFC6E0B4"/>
          <bgColor rgb="FFC6E0B4"/>
        </patternFill>
      </fill>
      <border/>
    </dxf>
    <dxf>
      <font/>
      <fill>
        <patternFill patternType="solid">
          <fgColor rgb="FFBDD7EE"/>
          <bgColor rgb="FFBDD7EE"/>
        </patternFill>
      </fill>
      <border/>
    </dxf>
    <dxf>
      <font/>
      <fill>
        <patternFill patternType="solid">
          <fgColor rgb="FFFCE4D6"/>
          <bgColor rgb="FFFCE4D6"/>
        </patternFill>
      </fill>
      <border/>
    </dxf>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757575"/>
                </a:solidFill>
                <a:latin typeface="Calibri"/>
              </a:defRPr>
            </a:pPr>
            <a:r>
              <a:rPr b="1" sz="1800">
                <a:solidFill>
                  <a:srgbClr val="757575"/>
                </a:solidFill>
                <a:latin typeface="Calibri"/>
              </a:rPr>
              <a:t>Double Materiality Matrix — Tata Steel (Impact vs. Financial, threshold = 12.5)</a:t>
            </a:r>
          </a:p>
        </c:rich>
      </c:tx>
      <c:overlay val="0"/>
    </c:title>
    <c:plotArea>
      <c:layout/>
      <c:scatterChart>
        <c:scatterStyle val="lineMarker"/>
        <c:ser>
          <c:idx val="0"/>
          <c:order val="0"/>
          <c:tx>
            <c:strRef>
              <c:f>'Matrix Chart'!$C$2</c:f>
            </c:strRef>
          </c:tx>
          <c:spPr>
            <a:ln>
              <a:noFill/>
            </a:ln>
          </c:spPr>
          <c:marker>
            <c:symbol val="circle"/>
            <c:size val="7"/>
            <c:spPr>
              <a:solidFill>
                <a:srgbClr val="1F3864"/>
              </a:solidFill>
              <a:ln cmpd="sng">
                <a:solidFill>
                  <a:srgbClr val="1F3864"/>
                </a:solidFill>
              </a:ln>
            </c:spPr>
          </c:marker>
          <c:xVal>
            <c:numRef>
              <c:f>'Matrix Chart'!$B$3:$B$18</c:f>
            </c:numRef>
          </c:xVal>
          <c:yVal>
            <c:numRef>
              <c:f>'Matrix Chart'!$C$3:$C$18</c:f>
              <c:numCache/>
            </c:numRef>
          </c:yVal>
        </c:ser>
        <c:ser>
          <c:idx val="1"/>
          <c:order val="1"/>
          <c:tx>
            <c:strRef>
              <c:f>'Matrix Chart'!$D$2</c:f>
            </c:strRef>
          </c:tx>
          <c:spPr>
            <a:ln>
              <a:noFill/>
            </a:ln>
          </c:spPr>
          <c:marker>
            <c:symbol val="none"/>
          </c:marker>
          <c:xVal>
            <c:numRef>
              <c:f>'Matrix Chart'!$B$3:$B$18</c:f>
            </c:numRef>
          </c:xVal>
          <c:yVal>
            <c:numRef>
              <c:f>'Matrix Chart'!$D$3:$D$18</c:f>
              <c:numCache/>
            </c:numRef>
          </c:yVal>
        </c:ser>
        <c:ser>
          <c:idx val="2"/>
          <c:order val="2"/>
          <c:tx>
            <c:strRef>
              <c:f>'Matrix Chart'!$E$2</c:f>
            </c:strRef>
          </c:tx>
          <c:spPr>
            <a:ln>
              <a:noFill/>
            </a:ln>
          </c:spPr>
          <c:marker>
            <c:symbol val="none"/>
          </c:marker>
          <c:xVal>
            <c:numRef>
              <c:f>'Matrix Chart'!$B$3:$B$18</c:f>
            </c:numRef>
          </c:xVal>
          <c:yVal>
            <c:numRef>
              <c:f>'Matrix Chart'!$E$3:$E$18</c:f>
              <c:numCache/>
            </c:numRef>
          </c:yVal>
        </c:ser>
        <c:dLbls>
          <c:showLegendKey val="0"/>
          <c:showVal val="0"/>
          <c:showCatName val="0"/>
          <c:showSerName val="0"/>
          <c:showPercent val="0"/>
          <c:showBubbleSize val="0"/>
        </c:dLbls>
        <c:axId val="383565439"/>
        <c:axId val="1431769296"/>
      </c:scatterChart>
      <c:valAx>
        <c:axId val="383565439"/>
        <c:scaling>
          <c:orientation val="minMax"/>
          <c:max val="25.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sz="1000">
                    <a:solidFill>
                      <a:srgbClr val="000000"/>
                    </a:solidFill>
                    <a:latin typeface="Calibri"/>
                  </a:defRPr>
                </a:pPr>
                <a:r>
                  <a:rPr b="1" sz="1000">
                    <a:solidFill>
                      <a:srgbClr val="000000"/>
                    </a:solidFill>
                    <a:latin typeface="Calibri"/>
                  </a:rPr>
                  <a:t>Financial Materiality Score (0-25)</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431769296"/>
      </c:valAx>
      <c:valAx>
        <c:axId val="1431769296"/>
        <c:scaling>
          <c:orientation val="minMax"/>
          <c:max val="25.0"/>
        </c:scaling>
        <c:delete val="0"/>
        <c:axPos val="l"/>
        <c:majorGridlines>
          <c:spPr>
            <a:ln>
              <a:solidFill>
                <a:srgbClr val="B7B7B7"/>
              </a:solidFill>
            </a:ln>
          </c:spPr>
        </c:majorGridlines>
        <c:title>
          <c:tx>
            <c:rich>
              <a:bodyPr/>
              <a:lstStyle/>
              <a:p>
                <a:pPr lvl="0">
                  <a:defRPr b="1" sz="1000">
                    <a:solidFill>
                      <a:srgbClr val="000000"/>
                    </a:solidFill>
                    <a:latin typeface="Calibri"/>
                  </a:defRPr>
                </a:pPr>
                <a:r>
                  <a:rPr b="1" sz="1000">
                    <a:solidFill>
                      <a:srgbClr val="000000"/>
                    </a:solidFill>
                    <a:latin typeface="Calibri"/>
                  </a:rPr>
                  <a:t>Impact Materiality Score (0-25)</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383565439"/>
      </c:valAx>
    </c:plotArea>
    <c:legend>
      <c:legendPos val="r"/>
      <c:overlay val="0"/>
      <c:txPr>
        <a:bodyPr/>
        <a:lstStyle/>
        <a:p>
          <a:pPr lvl="0">
            <a:defRPr b="0">
              <a:solidFill>
                <a:srgbClr val="1A1A1A"/>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Topics by Materiality Category</a:t>
            </a:r>
          </a:p>
        </c:rich>
      </c:tx>
      <c:overlay val="0"/>
    </c:title>
    <c:plotArea>
      <c:layout/>
      <c:barChart>
        <c:barDir val="col"/>
        <c:ser>
          <c:idx val="0"/>
          <c:order val="0"/>
          <c:spPr>
            <a:solidFill>
              <a:srgbClr val="4F81BD"/>
            </a:solidFill>
            <a:ln cmpd="sng">
              <a:noFill/>
            </a:ln>
          </c:spPr>
          <c:cat>
            <c:strRef>
              <c:f>Dashboard!$A$16:$A$19</c:f>
            </c:strRef>
          </c:cat>
          <c:val>
            <c:numRef>
              <c:f>Dashboard!$B$16:$B$19</c:f>
              <c:numCache/>
            </c:numRef>
          </c:val>
        </c:ser>
        <c:axId val="648818144"/>
        <c:axId val="678553438"/>
      </c:barChart>
      <c:catAx>
        <c:axId val="648818144"/>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Category</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678553438"/>
      </c:catAx>
      <c:valAx>
        <c:axId val="67855343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Topics</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648818144"/>
      </c:valAx>
    </c:plotArea>
    <c:plotVisOnly val="1"/>
  </c:chart>
  <c:spPr>
    <a:solidFill>
      <a:srgbClr val="FFFFFF"/>
    </a:solidFill>
  </c:spPr>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257175</xdr:colOff>
      <xdr:row>0</xdr:row>
      <xdr:rowOff>9525</xdr:rowOff>
    </xdr:from>
    <xdr:ext cx="7267575" cy="4343400"/>
    <xdr:graphicFrame>
      <xdr:nvGraphicFramePr>
        <xdr:cNvPr id="2" name="Chart 2" title="Double Materiality Matrix — Tata Steel (Impact vs. Financial, threshold = 12.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571500</xdr:colOff>
      <xdr:row>0</xdr:row>
      <xdr:rowOff>0</xdr:rowOff>
    </xdr:from>
    <xdr:ext cx="5848350" cy="34480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95.0"/>
    <col customWidth="1" min="3" max="26" width="8.71"/>
  </cols>
  <sheetData>
    <row r="1" ht="24.0" customHeight="1">
      <c r="A1" s="1" t="s">
        <v>1</v>
      </c>
    </row>
    <row r="2" ht="15.75" customHeight="1">
      <c r="A2" s="2" t="s">
        <v>2</v>
      </c>
    </row>
    <row r="4" ht="19.5" customHeight="1">
      <c r="A4" s="3" t="s">
        <v>4</v>
      </c>
      <c r="B4" s="5" t="s">
        <v>5</v>
      </c>
    </row>
    <row r="5" ht="19.5" customHeight="1">
      <c r="A5" s="3" t="s">
        <v>6</v>
      </c>
      <c r="B5" s="5" t="s">
        <v>7</v>
      </c>
    </row>
    <row r="6" ht="19.5" customHeight="1">
      <c r="A6" s="3" t="s">
        <v>8</v>
      </c>
      <c r="B6" s="5" t="s">
        <v>9</v>
      </c>
    </row>
    <row r="7" ht="69.75" customHeight="1">
      <c r="A7" s="3" t="s">
        <v>11</v>
      </c>
      <c r="B7" s="5" t="s">
        <v>12</v>
      </c>
    </row>
    <row r="8" ht="69.75" customHeight="1">
      <c r="A8" s="3" t="s">
        <v>13</v>
      </c>
      <c r="B8" s="5" t="s">
        <v>14</v>
      </c>
    </row>
    <row r="10">
      <c r="A10" s="9" t="s">
        <v>17</v>
      </c>
    </row>
    <row r="11" ht="39.75" customHeight="1">
      <c r="A11" s="11" t="s">
        <v>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11:B1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12.0"/>
    <col customWidth="1" min="3" max="3" width="60.0"/>
    <col customWidth="1" min="4" max="26" width="8.71"/>
  </cols>
  <sheetData>
    <row r="1" ht="21.75" customHeight="1">
      <c r="A1" s="1" t="s">
        <v>0</v>
      </c>
    </row>
    <row r="3" ht="27.75" customHeight="1">
      <c r="A3" s="4" t="s">
        <v>3</v>
      </c>
      <c r="B3" s="6"/>
      <c r="C3" s="7"/>
    </row>
    <row r="4">
      <c r="A4" s="8" t="s">
        <v>10</v>
      </c>
      <c r="B4" s="8"/>
      <c r="C4" s="8" t="s">
        <v>15</v>
      </c>
    </row>
    <row r="5" ht="18.0" customHeight="1">
      <c r="A5" s="10">
        <v>1.0</v>
      </c>
      <c r="C5" s="5" t="s">
        <v>22</v>
      </c>
    </row>
    <row r="6" ht="18.0" customHeight="1">
      <c r="A6" s="10">
        <v>2.0</v>
      </c>
      <c r="C6" s="5" t="s">
        <v>24</v>
      </c>
    </row>
    <row r="7" ht="18.0" customHeight="1">
      <c r="A7" s="13">
        <v>3.0</v>
      </c>
      <c r="C7" s="5" t="s">
        <v>28</v>
      </c>
    </row>
    <row r="8" ht="18.0" customHeight="1">
      <c r="A8" s="15">
        <v>4.0</v>
      </c>
      <c r="C8" s="5" t="s">
        <v>34</v>
      </c>
    </row>
    <row r="9" ht="18.0" customHeight="1">
      <c r="A9" s="17">
        <v>5.0</v>
      </c>
      <c r="C9" s="5" t="s">
        <v>43</v>
      </c>
    </row>
    <row r="11" ht="27.75" customHeight="1">
      <c r="A11" s="4" t="s">
        <v>47</v>
      </c>
      <c r="B11" s="6"/>
      <c r="C11" s="7"/>
    </row>
    <row r="12">
      <c r="A12" s="8" t="s">
        <v>10</v>
      </c>
      <c r="B12" s="8"/>
      <c r="C12" s="8" t="s">
        <v>15</v>
      </c>
    </row>
    <row r="13" ht="18.0" customHeight="1">
      <c r="A13" s="10">
        <v>1.0</v>
      </c>
      <c r="C13" s="5" t="s">
        <v>61</v>
      </c>
    </row>
    <row r="14" ht="18.0" customHeight="1">
      <c r="A14" s="10">
        <v>2.0</v>
      </c>
      <c r="C14" s="5" t="s">
        <v>66</v>
      </c>
    </row>
    <row r="15" ht="18.0" customHeight="1">
      <c r="A15" s="13">
        <v>3.0</v>
      </c>
      <c r="C15" s="5" t="s">
        <v>70</v>
      </c>
    </row>
    <row r="16" ht="18.0" customHeight="1">
      <c r="A16" s="15">
        <v>4.0</v>
      </c>
      <c r="C16" s="5" t="s">
        <v>74</v>
      </c>
    </row>
    <row r="17" ht="18.0" customHeight="1">
      <c r="A17" s="17">
        <v>5.0</v>
      </c>
      <c r="C17" s="5" t="s">
        <v>75</v>
      </c>
    </row>
    <row r="19" ht="27.75" customHeight="1">
      <c r="A19" s="4" t="s">
        <v>76</v>
      </c>
      <c r="B19" s="6"/>
      <c r="C19" s="7"/>
    </row>
    <row r="20">
      <c r="A20" s="8" t="s">
        <v>10</v>
      </c>
      <c r="B20" s="8"/>
      <c r="C20" s="8" t="s">
        <v>15</v>
      </c>
    </row>
    <row r="21" ht="18.0" customHeight="1">
      <c r="A21" s="10">
        <v>1.0</v>
      </c>
      <c r="C21" s="5" t="s">
        <v>77</v>
      </c>
    </row>
    <row r="22" ht="18.0" customHeight="1">
      <c r="A22" s="10">
        <v>2.0</v>
      </c>
      <c r="C22" s="5" t="s">
        <v>78</v>
      </c>
    </row>
    <row r="23" ht="18.0" customHeight="1">
      <c r="A23" s="13">
        <v>3.0</v>
      </c>
      <c r="C23" s="5" t="s">
        <v>79</v>
      </c>
    </row>
    <row r="24" ht="18.0" customHeight="1">
      <c r="A24" s="15">
        <v>4.0</v>
      </c>
      <c r="C24" s="5" t="s">
        <v>80</v>
      </c>
    </row>
    <row r="25" ht="18.0" customHeight="1">
      <c r="A25" s="17">
        <v>5.0</v>
      </c>
      <c r="C25" s="5" t="s">
        <v>81</v>
      </c>
    </row>
    <row r="26" ht="15.75" customHeight="1"/>
    <row r="27" ht="27.75" customHeight="1">
      <c r="A27" s="4" t="s">
        <v>82</v>
      </c>
      <c r="B27" s="6"/>
      <c r="C27" s="7"/>
    </row>
    <row r="28" ht="15.75" customHeight="1">
      <c r="A28" s="8" t="s">
        <v>10</v>
      </c>
      <c r="B28" s="8"/>
      <c r="C28" s="8" t="s">
        <v>15</v>
      </c>
    </row>
    <row r="29" ht="18.0" customHeight="1">
      <c r="A29" s="10">
        <v>1.0</v>
      </c>
      <c r="C29" s="5" t="s">
        <v>83</v>
      </c>
    </row>
    <row r="30" ht="18.0" customHeight="1">
      <c r="A30" s="10">
        <v>2.0</v>
      </c>
      <c r="C30" s="5" t="s">
        <v>84</v>
      </c>
    </row>
    <row r="31" ht="18.0" customHeight="1">
      <c r="A31" s="13">
        <v>3.0</v>
      </c>
      <c r="C31" s="5" t="s">
        <v>85</v>
      </c>
    </row>
    <row r="32" ht="18.0" customHeight="1">
      <c r="A32" s="15">
        <v>4.0</v>
      </c>
      <c r="C32" s="5" t="s">
        <v>86</v>
      </c>
    </row>
    <row r="33" ht="18.0" customHeight="1">
      <c r="A33" s="17">
        <v>5.0</v>
      </c>
      <c r="C33" s="5" t="s">
        <v>87</v>
      </c>
    </row>
    <row r="34" ht="15.75" customHeight="1"/>
    <row r="35" ht="27.75" customHeight="1">
      <c r="A35" s="4" t="s">
        <v>89</v>
      </c>
      <c r="B35" s="6"/>
      <c r="C35" s="7"/>
    </row>
    <row r="36" ht="15.75" customHeight="1">
      <c r="A36" s="8" t="s">
        <v>10</v>
      </c>
      <c r="B36" s="8"/>
      <c r="C36" s="8" t="s">
        <v>15</v>
      </c>
    </row>
    <row r="37" ht="18.0" customHeight="1">
      <c r="A37" s="10">
        <v>1.0</v>
      </c>
      <c r="C37" s="5" t="s">
        <v>90</v>
      </c>
    </row>
    <row r="38" ht="18.0" customHeight="1">
      <c r="A38" s="10">
        <v>2.0</v>
      </c>
      <c r="C38" s="5" t="s">
        <v>91</v>
      </c>
    </row>
    <row r="39" ht="18.0" customHeight="1">
      <c r="A39" s="13">
        <v>3.0</v>
      </c>
      <c r="C39" s="5" t="s">
        <v>92</v>
      </c>
    </row>
    <row r="40" ht="18.0" customHeight="1">
      <c r="A40" s="15">
        <v>4.0</v>
      </c>
      <c r="C40" s="5" t="s">
        <v>93</v>
      </c>
    </row>
    <row r="41" ht="18.0" customHeight="1">
      <c r="A41" s="17">
        <v>5.0</v>
      </c>
      <c r="C41" s="5" t="s">
        <v>94</v>
      </c>
    </row>
    <row r="42" ht="15.75" customHeight="1"/>
    <row r="43" ht="15.75" customHeight="1">
      <c r="A43" s="23" t="s">
        <v>95</v>
      </c>
    </row>
    <row r="44" ht="15.75" customHeight="1">
      <c r="A44" s="25" t="s">
        <v>96</v>
      </c>
    </row>
    <row r="45" ht="15.75" customHeight="1">
      <c r="A45" s="25" t="s">
        <v>97</v>
      </c>
    </row>
    <row r="46" ht="15.75" customHeight="1">
      <c r="A46" s="28" t="s">
        <v>99</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44:C44"/>
    <mergeCell ref="A45:C45"/>
    <mergeCell ref="A46:C46"/>
    <mergeCell ref="A1:C1"/>
    <mergeCell ref="A3:C3"/>
    <mergeCell ref="A11:C11"/>
    <mergeCell ref="A19:C19"/>
    <mergeCell ref="A27:C27"/>
    <mergeCell ref="A35:C35"/>
    <mergeCell ref="A43:C43"/>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6.0"/>
    <col customWidth="1" min="3" max="3" width="34.0"/>
    <col customWidth="1" min="4" max="4" width="70.0"/>
    <col customWidth="1" min="5" max="26" width="8.71"/>
  </cols>
  <sheetData>
    <row r="1">
      <c r="A1" s="8" t="s">
        <v>16</v>
      </c>
      <c r="B1" s="8" t="s">
        <v>18</v>
      </c>
      <c r="C1" s="8" t="s">
        <v>20</v>
      </c>
      <c r="D1" s="8" t="s">
        <v>21</v>
      </c>
    </row>
    <row r="2" ht="33.75" customHeight="1">
      <c r="A2" s="12" t="s">
        <v>23</v>
      </c>
      <c r="B2" s="12" t="s">
        <v>25</v>
      </c>
      <c r="C2" s="14" t="s">
        <v>26</v>
      </c>
      <c r="D2" s="14" t="s">
        <v>30</v>
      </c>
    </row>
    <row r="3" ht="33.75" customHeight="1">
      <c r="A3" s="16" t="s">
        <v>32</v>
      </c>
      <c r="B3" s="16" t="s">
        <v>25</v>
      </c>
      <c r="C3" s="5" t="s">
        <v>35</v>
      </c>
      <c r="D3" s="5" t="s">
        <v>36</v>
      </c>
    </row>
    <row r="4" ht="33.75" customHeight="1">
      <c r="A4" s="12" t="s">
        <v>37</v>
      </c>
      <c r="B4" s="12" t="s">
        <v>25</v>
      </c>
      <c r="C4" s="14" t="s">
        <v>38</v>
      </c>
      <c r="D4" s="14" t="s">
        <v>39</v>
      </c>
    </row>
    <row r="5" ht="33.75" customHeight="1">
      <c r="A5" s="16" t="s">
        <v>40</v>
      </c>
      <c r="B5" s="16" t="s">
        <v>25</v>
      </c>
      <c r="C5" s="5" t="s">
        <v>41</v>
      </c>
      <c r="D5" s="5" t="s">
        <v>42</v>
      </c>
    </row>
    <row r="6" ht="33.75" customHeight="1">
      <c r="A6" s="12" t="s">
        <v>44</v>
      </c>
      <c r="B6" s="12" t="s">
        <v>25</v>
      </c>
      <c r="C6" s="14" t="s">
        <v>45</v>
      </c>
      <c r="D6" s="14" t="s">
        <v>46</v>
      </c>
    </row>
    <row r="7" ht="33.75" customHeight="1">
      <c r="A7" s="16" t="s">
        <v>48</v>
      </c>
      <c r="B7" s="16" t="s">
        <v>49</v>
      </c>
      <c r="C7" s="5" t="s">
        <v>50</v>
      </c>
      <c r="D7" s="5" t="s">
        <v>51</v>
      </c>
    </row>
    <row r="8" ht="33.75" customHeight="1">
      <c r="A8" s="12" t="s">
        <v>52</v>
      </c>
      <c r="B8" s="12" t="s">
        <v>49</v>
      </c>
      <c r="C8" s="14" t="s">
        <v>53</v>
      </c>
      <c r="D8" s="14" t="s">
        <v>54</v>
      </c>
    </row>
    <row r="9" ht="33.75" customHeight="1">
      <c r="A9" s="16" t="s">
        <v>55</v>
      </c>
      <c r="B9" s="16" t="s">
        <v>49</v>
      </c>
      <c r="C9" s="5" t="s">
        <v>56</v>
      </c>
      <c r="D9" s="5" t="s">
        <v>57</v>
      </c>
    </row>
    <row r="10" ht="33.75" customHeight="1">
      <c r="A10" s="12" t="s">
        <v>58</v>
      </c>
      <c r="B10" s="12" t="s">
        <v>49</v>
      </c>
      <c r="C10" s="14" t="s">
        <v>59</v>
      </c>
      <c r="D10" s="14" t="s">
        <v>60</v>
      </c>
    </row>
    <row r="11" ht="33.75" customHeight="1">
      <c r="A11" s="16" t="s">
        <v>62</v>
      </c>
      <c r="B11" s="16" t="s">
        <v>63</v>
      </c>
      <c r="C11" s="5" t="s">
        <v>64</v>
      </c>
      <c r="D11" s="5" t="s">
        <v>65</v>
      </c>
    </row>
    <row r="12" ht="33.75" customHeight="1">
      <c r="A12" s="12" t="s">
        <v>67</v>
      </c>
      <c r="B12" s="12" t="s">
        <v>63</v>
      </c>
      <c r="C12" s="14" t="s">
        <v>68</v>
      </c>
      <c r="D12" s="14" t="s">
        <v>69</v>
      </c>
    </row>
    <row r="13" ht="33.75" customHeight="1">
      <c r="A13" s="16" t="s">
        <v>71</v>
      </c>
      <c r="B13" s="16" t="s">
        <v>63</v>
      </c>
      <c r="C13" s="5" t="s">
        <v>72</v>
      </c>
      <c r="D13" s="5" t="s">
        <v>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4.0"/>
    <col customWidth="1" min="3" max="4" width="14.0"/>
    <col customWidth="1" min="5" max="5" width="22.0"/>
    <col customWidth="1" min="6" max="6" width="55.0"/>
    <col customWidth="1" min="7" max="26" width="8.71"/>
  </cols>
  <sheetData>
    <row r="1">
      <c r="A1" s="8" t="s">
        <v>16</v>
      </c>
      <c r="B1" s="8" t="s">
        <v>20</v>
      </c>
      <c r="C1" s="8" t="s">
        <v>27</v>
      </c>
      <c r="D1" s="8" t="s">
        <v>29</v>
      </c>
      <c r="E1" s="8" t="s">
        <v>31</v>
      </c>
      <c r="F1" s="8" t="s">
        <v>33</v>
      </c>
    </row>
    <row r="2" ht="39.75" customHeight="1">
      <c r="A2" s="12" t="s">
        <v>23</v>
      </c>
      <c r="B2" s="18" t="str">
        <f t="array" ref="B2">INDEX('ESG Topic List'!$C$2:$C$13,MATCH(A2,'ESG Topic List'!$A$2:$A$13,0))</f>
        <v>Climate Change (Scope 1 &amp; 2 GHG Emissions)</v>
      </c>
      <c r="C2" s="19">
        <v>5.0</v>
      </c>
      <c r="D2" s="19">
        <v>5.0</v>
      </c>
      <c r="E2" s="20">
        <f t="shared" ref="E2:E13" si="1">C2*D2</f>
        <v>25</v>
      </c>
      <c r="F2" s="21" t="s">
        <v>88</v>
      </c>
    </row>
    <row r="3" ht="39.75" customHeight="1">
      <c r="A3" s="16" t="s">
        <v>32</v>
      </c>
      <c r="B3" s="22" t="str">
        <f t="array" ref="B3">INDEX('ESG Topic List'!$C$2:$C$13,MATCH(A3,'ESG Topic List'!$A$2:$A$13,0))</f>
        <v>Water Consumption &amp; Effluents</v>
      </c>
      <c r="C3" s="24">
        <v>3.0</v>
      </c>
      <c r="D3" s="24">
        <v>3.0</v>
      </c>
      <c r="E3" s="26">
        <f t="shared" si="1"/>
        <v>9</v>
      </c>
      <c r="F3" s="27" t="s">
        <v>98</v>
      </c>
    </row>
    <row r="4" ht="39.75" customHeight="1">
      <c r="A4" s="12" t="s">
        <v>37</v>
      </c>
      <c r="B4" s="18" t="str">
        <f t="array" ref="B4">INDEX('ESG Topic List'!$C$2:$C$13,MATCH(A4,'ESG Topic List'!$A$2:$A$13,0))</f>
        <v>Air Emissions (Dust, SOx, NOx)</v>
      </c>
      <c r="C4" s="19">
        <v>3.0</v>
      </c>
      <c r="D4" s="19">
        <v>3.0</v>
      </c>
      <c r="E4" s="20">
        <f t="shared" si="1"/>
        <v>9</v>
      </c>
      <c r="F4" s="21" t="s">
        <v>100</v>
      </c>
    </row>
    <row r="5" ht="39.75" customHeight="1">
      <c r="A5" s="16" t="s">
        <v>40</v>
      </c>
      <c r="B5" s="22" t="str">
        <f t="array" ref="B5">INDEX('ESG Topic List'!$C$2:$C$13,MATCH(A5,'ESG Topic List'!$A$2:$A$13,0))</f>
        <v>Biodiversity &amp; Mine Land Rehabilitation</v>
      </c>
      <c r="C5" s="24">
        <v>2.0</v>
      </c>
      <c r="D5" s="24">
        <v>2.0</v>
      </c>
      <c r="E5" s="26">
        <f t="shared" si="1"/>
        <v>4</v>
      </c>
      <c r="F5" s="27" t="s">
        <v>101</v>
      </c>
    </row>
    <row r="6" ht="39.75" customHeight="1">
      <c r="A6" s="12" t="s">
        <v>44</v>
      </c>
      <c r="B6" s="18" t="str">
        <f t="array" ref="B6">INDEX('ESG Topic List'!$C$2:$C$13,MATCH(A6,'ESG Topic List'!$A$2:$A$13,0))</f>
        <v>Energy Management (Coal Dependency)</v>
      </c>
      <c r="C6" s="19">
        <v>4.0</v>
      </c>
      <c r="D6" s="19">
        <v>4.0</v>
      </c>
      <c r="E6" s="20">
        <f t="shared" si="1"/>
        <v>16</v>
      </c>
      <c r="F6" s="21" t="s">
        <v>102</v>
      </c>
    </row>
    <row r="7" ht="39.75" customHeight="1">
      <c r="A7" s="16" t="s">
        <v>48</v>
      </c>
      <c r="B7" s="22" t="str">
        <f t="array" ref="B7">INDEX('ESG Topic List'!$C$2:$C$13,MATCH(A7,'ESG Topic List'!$A$2:$A$13,0))</f>
        <v>Occupational Health &amp; Safety</v>
      </c>
      <c r="C7" s="24">
        <v>4.0</v>
      </c>
      <c r="D7" s="24">
        <v>4.0</v>
      </c>
      <c r="E7" s="26">
        <f t="shared" si="1"/>
        <v>16</v>
      </c>
      <c r="F7" s="27" t="s">
        <v>103</v>
      </c>
    </row>
    <row r="8" ht="39.75" customHeight="1">
      <c r="A8" s="12" t="s">
        <v>52</v>
      </c>
      <c r="B8" s="18" t="str">
        <f t="array" ref="B8">INDEX('ESG Topic List'!$C$2:$C$13,MATCH(A8,'ESG Topic List'!$A$2:$A$13,0))</f>
        <v>Employee Diversity &amp; Inclusion</v>
      </c>
      <c r="C8" s="19">
        <v>2.0</v>
      </c>
      <c r="D8" s="19">
        <v>2.0</v>
      </c>
      <c r="E8" s="20">
        <f t="shared" si="1"/>
        <v>4</v>
      </c>
      <c r="F8" s="21" t="s">
        <v>104</v>
      </c>
    </row>
    <row r="9" ht="39.75" customHeight="1">
      <c r="A9" s="16" t="s">
        <v>55</v>
      </c>
      <c r="B9" s="22" t="str">
        <f t="array" ref="B9">INDEX('ESG Topic List'!$C$2:$C$13,MATCH(A9,'ESG Topic List'!$A$2:$A$13,0))</f>
        <v>Local Community Development &amp; Displacement</v>
      </c>
      <c r="C9" s="24">
        <v>3.0</v>
      </c>
      <c r="D9" s="24">
        <v>3.0</v>
      </c>
      <c r="E9" s="26">
        <f t="shared" si="1"/>
        <v>9</v>
      </c>
      <c r="F9" s="27" t="s">
        <v>105</v>
      </c>
    </row>
    <row r="10" ht="39.75" customHeight="1">
      <c r="A10" s="12" t="s">
        <v>58</v>
      </c>
      <c r="B10" s="18" t="str">
        <f t="array" ref="B10">INDEX('ESG Topic List'!$C$2:$C$13,MATCH(A10,'ESG Topic List'!$A$2:$A$13,0))</f>
        <v>Product Quality &amp; Customer Safety</v>
      </c>
      <c r="C10" s="19">
        <v>3.0</v>
      </c>
      <c r="D10" s="19">
        <v>4.0</v>
      </c>
      <c r="E10" s="20">
        <f t="shared" si="1"/>
        <v>12</v>
      </c>
      <c r="F10" s="21" t="s">
        <v>106</v>
      </c>
    </row>
    <row r="11" ht="39.75" customHeight="1">
      <c r="A11" s="16" t="s">
        <v>62</v>
      </c>
      <c r="B11" s="22" t="str">
        <f t="array" ref="B11">INDEX('ESG Topic List'!$C$2:$C$13,MATCH(A11,'ESG Topic List'!$A$2:$A$13,0))</f>
        <v>Cybersecurity Resilience</v>
      </c>
      <c r="C11" s="24">
        <v>5.0</v>
      </c>
      <c r="D11" s="24">
        <v>4.0</v>
      </c>
      <c r="E11" s="26">
        <f t="shared" si="1"/>
        <v>20</v>
      </c>
      <c r="F11" s="27" t="s">
        <v>107</v>
      </c>
    </row>
    <row r="12" ht="39.75" customHeight="1">
      <c r="A12" s="12" t="s">
        <v>67</v>
      </c>
      <c r="B12" s="18" t="str">
        <f t="array" ref="B12">INDEX('ESG Topic List'!$C$2:$C$13,MATCH(A12,'ESG Topic List'!$A$2:$A$13,0))</f>
        <v>Business Ethics &amp; Anti-Corruption</v>
      </c>
      <c r="C12" s="19">
        <v>3.0</v>
      </c>
      <c r="D12" s="19">
        <v>4.0</v>
      </c>
      <c r="E12" s="20">
        <f t="shared" si="1"/>
        <v>12</v>
      </c>
      <c r="F12" s="21" t="s">
        <v>108</v>
      </c>
    </row>
    <row r="13" ht="39.75" customHeight="1">
      <c r="A13" s="16" t="s">
        <v>71</v>
      </c>
      <c r="B13" s="22" t="str">
        <f t="array" ref="B13">INDEX('ESG Topic List'!$C$2:$C$13,MATCH(A13,'ESG Topic List'!$A$2:$A$13,0))</f>
        <v>Board Governance &amp; Climate Oversight</v>
      </c>
      <c r="C13" s="24">
        <v>2.0</v>
      </c>
      <c r="D13" s="24">
        <v>2.0</v>
      </c>
      <c r="E13" s="26">
        <f t="shared" si="1"/>
        <v>4</v>
      </c>
      <c r="F13" s="27" t="s">
        <v>113</v>
      </c>
    </row>
    <row r="14">
      <c r="B14" s="29" t="s">
        <v>115</v>
      </c>
      <c r="E14" s="30">
        <f>AVERAGE(E2:E13)</f>
        <v>11.66666667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2.0"/>
    <col customWidth="1" min="3" max="4" width="11.0"/>
    <col customWidth="1" min="5" max="5" width="15.0"/>
    <col customWidth="1" min="6" max="6" width="18.0"/>
    <col customWidth="1" min="7" max="7" width="13.0"/>
    <col customWidth="1" min="8" max="8" width="17.86"/>
    <col customWidth="1" min="9" max="9" width="55.0"/>
    <col customWidth="1" min="10" max="26" width="8.71"/>
  </cols>
  <sheetData>
    <row r="1">
      <c r="A1" s="8" t="s">
        <v>16</v>
      </c>
      <c r="B1" s="8" t="s">
        <v>20</v>
      </c>
      <c r="C1" s="8" t="s">
        <v>109</v>
      </c>
      <c r="D1" s="8" t="s">
        <v>110</v>
      </c>
      <c r="E1" s="8" t="s">
        <v>111</v>
      </c>
      <c r="F1" s="8" t="s">
        <v>112</v>
      </c>
      <c r="G1" s="8" t="s">
        <v>27</v>
      </c>
      <c r="H1" s="8" t="s">
        <v>114</v>
      </c>
      <c r="I1" s="8" t="s">
        <v>33</v>
      </c>
    </row>
    <row r="2" ht="42.0" customHeight="1">
      <c r="A2" s="12" t="s">
        <v>23</v>
      </c>
      <c r="B2" s="18" t="str">
        <f t="array" ref="B2">INDEX('ESG Topic List'!$C$2:$C$13,MATCH(A2,'ESG Topic List'!$A$2:$A$13,0))</f>
        <v>Climate Change (Scope 1 &amp; 2 GHG Emissions)</v>
      </c>
      <c r="C2" s="19">
        <v>5.0</v>
      </c>
      <c r="D2" s="19">
        <v>5.0</v>
      </c>
      <c r="E2" s="19">
        <v>4.0</v>
      </c>
      <c r="F2" s="31">
        <f t="shared" ref="F2:F13" si="1">AVERAGE(C2:E2)</f>
        <v>4.666666667</v>
      </c>
      <c r="G2" s="19">
        <v>5.0</v>
      </c>
      <c r="H2" s="31">
        <f t="shared" ref="H2:H13" si="2">F2*G2</f>
        <v>23.33333333</v>
      </c>
      <c r="I2" s="21" t="s">
        <v>119</v>
      </c>
    </row>
    <row r="3" ht="42.0" customHeight="1">
      <c r="A3" s="16" t="s">
        <v>32</v>
      </c>
      <c r="B3" s="22" t="str">
        <f t="array" ref="B3">INDEX('ESG Topic List'!$C$2:$C$13,MATCH(A3,'ESG Topic List'!$A$2:$A$13,0))</f>
        <v>Water Consumption &amp; Effluents</v>
      </c>
      <c r="C3" s="24">
        <v>4.0</v>
      </c>
      <c r="D3" s="24">
        <v>3.0</v>
      </c>
      <c r="E3" s="24">
        <v>3.0</v>
      </c>
      <c r="F3" s="33">
        <f t="shared" si="1"/>
        <v>3.333333333</v>
      </c>
      <c r="G3" s="24">
        <v>4.0</v>
      </c>
      <c r="H3" s="34">
        <f t="shared" si="2"/>
        <v>13.33333333</v>
      </c>
      <c r="I3" s="27" t="s">
        <v>120</v>
      </c>
    </row>
    <row r="4" ht="42.0" customHeight="1">
      <c r="A4" s="12" t="s">
        <v>37</v>
      </c>
      <c r="B4" s="18" t="str">
        <f t="array" ref="B4">INDEX('ESG Topic List'!$C$2:$C$13,MATCH(A4,'ESG Topic List'!$A$2:$A$13,0))</f>
        <v>Air Emissions (Dust, SOx, NOx)</v>
      </c>
      <c r="C4" s="19">
        <v>4.0</v>
      </c>
      <c r="D4" s="19">
        <v>3.0</v>
      </c>
      <c r="E4" s="19">
        <v>2.0</v>
      </c>
      <c r="F4" s="31">
        <f t="shared" si="1"/>
        <v>3</v>
      </c>
      <c r="G4" s="19">
        <v>4.0</v>
      </c>
      <c r="H4" s="31">
        <f t="shared" si="2"/>
        <v>12</v>
      </c>
      <c r="I4" s="21" t="s">
        <v>121</v>
      </c>
    </row>
    <row r="5" ht="42.0" customHeight="1">
      <c r="A5" s="16" t="s">
        <v>40</v>
      </c>
      <c r="B5" s="22" t="str">
        <f t="array" ref="B5">INDEX('ESG Topic List'!$C$2:$C$13,MATCH(A5,'ESG Topic List'!$A$2:$A$13,0))</f>
        <v>Biodiversity &amp; Mine Land Rehabilitation</v>
      </c>
      <c r="C5" s="24">
        <v>5.0</v>
      </c>
      <c r="D5" s="24">
        <v>3.0</v>
      </c>
      <c r="E5" s="24">
        <v>5.0</v>
      </c>
      <c r="F5" s="33">
        <f t="shared" si="1"/>
        <v>4.333333333</v>
      </c>
      <c r="G5" s="24">
        <v>4.0</v>
      </c>
      <c r="H5" s="34">
        <f t="shared" si="2"/>
        <v>17.33333333</v>
      </c>
      <c r="I5" s="27" t="s">
        <v>122</v>
      </c>
    </row>
    <row r="6" ht="42.0" customHeight="1">
      <c r="A6" s="12" t="s">
        <v>44</v>
      </c>
      <c r="B6" s="18" t="str">
        <f t="array" ref="B6">INDEX('ESG Topic List'!$C$2:$C$13,MATCH(A6,'ESG Topic List'!$A$2:$A$13,0))</f>
        <v>Energy Management (Coal Dependency)</v>
      </c>
      <c r="C6" s="19">
        <v>3.0</v>
      </c>
      <c r="D6" s="19">
        <v>3.0</v>
      </c>
      <c r="E6" s="19">
        <v>2.0</v>
      </c>
      <c r="F6" s="31">
        <f t="shared" si="1"/>
        <v>2.666666667</v>
      </c>
      <c r="G6" s="19">
        <v>3.0</v>
      </c>
      <c r="H6" s="31">
        <f t="shared" si="2"/>
        <v>8</v>
      </c>
      <c r="I6" s="21" t="s">
        <v>123</v>
      </c>
    </row>
    <row r="7" ht="42.0" customHeight="1">
      <c r="A7" s="16" t="s">
        <v>48</v>
      </c>
      <c r="B7" s="22" t="str">
        <f t="array" ref="B7">INDEX('ESG Topic List'!$C$2:$C$13,MATCH(A7,'ESG Topic List'!$A$2:$A$13,0))</f>
        <v>Occupational Health &amp; Safety</v>
      </c>
      <c r="C7" s="24">
        <v>5.0</v>
      </c>
      <c r="D7" s="24">
        <v>3.0</v>
      </c>
      <c r="E7" s="24">
        <v>4.0</v>
      </c>
      <c r="F7" s="33">
        <f t="shared" si="1"/>
        <v>4</v>
      </c>
      <c r="G7" s="24">
        <v>4.0</v>
      </c>
      <c r="H7" s="34">
        <f t="shared" si="2"/>
        <v>16</v>
      </c>
      <c r="I7" s="27" t="s">
        <v>124</v>
      </c>
    </row>
    <row r="8" ht="42.0" customHeight="1">
      <c r="A8" s="12" t="s">
        <v>52</v>
      </c>
      <c r="B8" s="18" t="str">
        <f t="array" ref="B8">INDEX('ESG Topic List'!$C$2:$C$13,MATCH(A8,'ESG Topic List'!$A$2:$A$13,0))</f>
        <v>Employee Diversity &amp; Inclusion</v>
      </c>
      <c r="C8" s="19">
        <v>2.0</v>
      </c>
      <c r="D8" s="19">
        <v>2.0</v>
      </c>
      <c r="E8" s="19">
        <v>1.0</v>
      </c>
      <c r="F8" s="31">
        <f t="shared" si="1"/>
        <v>1.666666667</v>
      </c>
      <c r="G8" s="19">
        <v>3.0</v>
      </c>
      <c r="H8" s="31">
        <f t="shared" si="2"/>
        <v>5</v>
      </c>
      <c r="I8" s="21" t="s">
        <v>125</v>
      </c>
    </row>
    <row r="9" ht="42.0" customHeight="1">
      <c r="A9" s="16" t="s">
        <v>55</v>
      </c>
      <c r="B9" s="22" t="str">
        <f t="array" ref="B9">INDEX('ESG Topic List'!$C$2:$C$13,MATCH(A9,'ESG Topic List'!$A$2:$A$13,0))</f>
        <v>Local Community Development &amp; Displacement</v>
      </c>
      <c r="C9" s="24">
        <v>4.0</v>
      </c>
      <c r="D9" s="24">
        <v>3.0</v>
      </c>
      <c r="E9" s="24">
        <v>4.0</v>
      </c>
      <c r="F9" s="33">
        <f t="shared" si="1"/>
        <v>3.666666667</v>
      </c>
      <c r="G9" s="24">
        <v>4.0</v>
      </c>
      <c r="H9" s="34">
        <f t="shared" si="2"/>
        <v>14.66666667</v>
      </c>
      <c r="I9" s="27" t="s">
        <v>126</v>
      </c>
    </row>
    <row r="10" ht="42.0" customHeight="1">
      <c r="A10" s="12" t="s">
        <v>58</v>
      </c>
      <c r="B10" s="18" t="str">
        <f t="array" ref="B10">INDEX('ESG Topic List'!$C$2:$C$13,MATCH(A10,'ESG Topic List'!$A$2:$A$13,0))</f>
        <v>Product Quality &amp; Customer Safety</v>
      </c>
      <c r="C10" s="19">
        <v>3.0</v>
      </c>
      <c r="D10" s="19">
        <v>3.0</v>
      </c>
      <c r="E10" s="19">
        <v>2.0</v>
      </c>
      <c r="F10" s="31">
        <f t="shared" si="1"/>
        <v>2.666666667</v>
      </c>
      <c r="G10" s="19">
        <v>3.0</v>
      </c>
      <c r="H10" s="31">
        <f t="shared" si="2"/>
        <v>8</v>
      </c>
      <c r="I10" s="21" t="s">
        <v>127</v>
      </c>
    </row>
    <row r="11" ht="42.0" customHeight="1">
      <c r="A11" s="16" t="s">
        <v>62</v>
      </c>
      <c r="B11" s="22" t="str">
        <f t="array" ref="B11">INDEX('ESG Topic List'!$C$2:$C$13,MATCH(A11,'ESG Topic List'!$A$2:$A$13,0))</f>
        <v>Cybersecurity Resilience</v>
      </c>
      <c r="C11" s="24">
        <v>2.0</v>
      </c>
      <c r="D11" s="24">
        <v>2.0</v>
      </c>
      <c r="E11" s="24">
        <v>2.0</v>
      </c>
      <c r="F11" s="33">
        <f t="shared" si="1"/>
        <v>2</v>
      </c>
      <c r="G11" s="24">
        <v>3.0</v>
      </c>
      <c r="H11" s="34">
        <f t="shared" si="2"/>
        <v>6</v>
      </c>
      <c r="I11" s="27" t="s">
        <v>128</v>
      </c>
    </row>
    <row r="12" ht="42.0" customHeight="1">
      <c r="A12" s="12" t="s">
        <v>67</v>
      </c>
      <c r="B12" s="18" t="str">
        <f t="array" ref="B12">INDEX('ESG Topic List'!$C$2:$C$13,MATCH(A12,'ESG Topic List'!$A$2:$A$13,0))</f>
        <v>Business Ethics &amp; Anti-Corruption</v>
      </c>
      <c r="C12" s="19">
        <v>3.0</v>
      </c>
      <c r="D12" s="19">
        <v>2.0</v>
      </c>
      <c r="E12" s="19">
        <v>2.0</v>
      </c>
      <c r="F12" s="31">
        <f t="shared" si="1"/>
        <v>2.333333333</v>
      </c>
      <c r="G12" s="19">
        <v>3.0</v>
      </c>
      <c r="H12" s="31">
        <f t="shared" si="2"/>
        <v>7</v>
      </c>
      <c r="I12" s="21" t="s">
        <v>129</v>
      </c>
    </row>
    <row r="13" ht="42.0" customHeight="1">
      <c r="A13" s="16" t="s">
        <v>71</v>
      </c>
      <c r="B13" s="22" t="str">
        <f t="array" ref="B13">INDEX('ESG Topic List'!$C$2:$C$13,MATCH(A13,'ESG Topic List'!$A$2:$A$13,0))</f>
        <v>Board Governance &amp; Climate Oversight</v>
      </c>
      <c r="C13" s="24">
        <v>2.0</v>
      </c>
      <c r="D13" s="24">
        <v>2.0</v>
      </c>
      <c r="E13" s="24">
        <v>1.0</v>
      </c>
      <c r="F13" s="33">
        <f t="shared" si="1"/>
        <v>1.666666667</v>
      </c>
      <c r="G13" s="24">
        <v>2.0</v>
      </c>
      <c r="H13" s="34">
        <f t="shared" si="2"/>
        <v>3.333333333</v>
      </c>
      <c r="I13" s="27" t="s">
        <v>130</v>
      </c>
    </row>
    <row r="14">
      <c r="B14" s="29" t="s">
        <v>115</v>
      </c>
      <c r="H14" s="40">
        <f>AVERAGE(H2:H13)</f>
        <v>11.16666667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4.0"/>
    <col customWidth="1" min="3" max="4" width="16.0"/>
    <col customWidth="1" min="5" max="5" width="24.0"/>
    <col customWidth="1" min="6" max="26" width="8.71"/>
  </cols>
  <sheetData>
    <row r="1">
      <c r="A1" s="8" t="s">
        <v>16</v>
      </c>
      <c r="B1" s="8" t="s">
        <v>20</v>
      </c>
      <c r="C1" s="8" t="s">
        <v>116</v>
      </c>
      <c r="D1" s="8" t="s">
        <v>117</v>
      </c>
      <c r="E1" s="8" t="s">
        <v>118</v>
      </c>
    </row>
    <row r="2" ht="25.5" customHeight="1">
      <c r="A2" s="12" t="s">
        <v>23</v>
      </c>
      <c r="B2" s="18" t="str">
        <f t="array" ref="B2">INDEX('ESG Topic List'!$C$2:$C$13,MATCH(A2,'ESG Topic List'!$A$2:$A$13,0))</f>
        <v>Climate Change (Scope 1 &amp; 2 GHG Emissions)</v>
      </c>
      <c r="C2" s="32">
        <f t="array" ref="C2">INDEX('Financial Materiality Scoring'!$E$2:$E$13,MATCH(A2,'Financial Materiality Scoring'!$A$2:$A$13,0))</f>
        <v>25</v>
      </c>
      <c r="D2" s="35">
        <f t="array" ref="D2">INDEX('Impact Materiality Scoring'!$H$2:$H$13,MATCH(A2,'Impact Materiality Scoring'!$A$2:$A$13,0))</f>
        <v>23.33333333</v>
      </c>
      <c r="E2" s="36" t="str">
        <f t="shared" ref="E2:E13" si="1">IF(AND(C2&gt;=12.5,D2&gt;=12.5),"Double Material",IF(AND(D2&gt;=12.5,C2&lt;12.5),"Impact-Only Material",IF(AND(C2&gt;=12.5,D2&lt;12.5),"Financial-Only Material","Not Material")))</f>
        <v>Double Material</v>
      </c>
    </row>
    <row r="3" ht="25.5" customHeight="1">
      <c r="A3" s="16" t="s">
        <v>32</v>
      </c>
      <c r="B3" s="22" t="str">
        <f t="array" ref="B3">INDEX('ESG Topic List'!$C$2:$C$13,MATCH(A3,'ESG Topic List'!$A$2:$A$13,0))</f>
        <v>Water Consumption &amp; Effluents</v>
      </c>
      <c r="C3" s="37">
        <f t="array" ref="C3">INDEX('Financial Materiality Scoring'!$E$2:$E$13,MATCH(A3,'Financial Materiality Scoring'!$A$2:$A$13,0))</f>
        <v>9</v>
      </c>
      <c r="D3" s="38">
        <f t="array" ref="D3">INDEX('Impact Materiality Scoring'!$H$2:$H$13,MATCH(A3,'Impact Materiality Scoring'!$A$2:$A$13,0))</f>
        <v>13.33333333</v>
      </c>
      <c r="E3" s="39" t="str">
        <f t="shared" si="1"/>
        <v>Impact-Only Material</v>
      </c>
    </row>
    <row r="4" ht="25.5" customHeight="1">
      <c r="A4" s="12" t="s">
        <v>37</v>
      </c>
      <c r="B4" s="18" t="str">
        <f t="array" ref="B4">INDEX('ESG Topic List'!$C$2:$C$13,MATCH(A4,'ESG Topic List'!$A$2:$A$13,0))</f>
        <v>Air Emissions (Dust, SOx, NOx)</v>
      </c>
      <c r="C4" s="32">
        <f t="array" ref="C4">INDEX('Financial Materiality Scoring'!$E$2:$E$13,MATCH(A4,'Financial Materiality Scoring'!$A$2:$A$13,0))</f>
        <v>9</v>
      </c>
      <c r="D4" s="35">
        <f t="array" ref="D4">INDEX('Impact Materiality Scoring'!$H$2:$H$13,MATCH(A4,'Impact Materiality Scoring'!$A$2:$A$13,0))</f>
        <v>12</v>
      </c>
      <c r="E4" s="36" t="str">
        <f t="shared" si="1"/>
        <v>Not Material</v>
      </c>
    </row>
    <row r="5" ht="25.5" customHeight="1">
      <c r="A5" s="16" t="s">
        <v>40</v>
      </c>
      <c r="B5" s="22" t="str">
        <f t="array" ref="B5">INDEX('ESG Topic List'!$C$2:$C$13,MATCH(A5,'ESG Topic List'!$A$2:$A$13,0))</f>
        <v>Biodiversity &amp; Mine Land Rehabilitation</v>
      </c>
      <c r="C5" s="37">
        <f t="array" ref="C5">INDEX('Financial Materiality Scoring'!$E$2:$E$13,MATCH(A5,'Financial Materiality Scoring'!$A$2:$A$13,0))</f>
        <v>4</v>
      </c>
      <c r="D5" s="38">
        <f t="array" ref="D5">INDEX('Impact Materiality Scoring'!$H$2:$H$13,MATCH(A5,'Impact Materiality Scoring'!$A$2:$A$13,0))</f>
        <v>17.33333333</v>
      </c>
      <c r="E5" s="39" t="str">
        <f t="shared" si="1"/>
        <v>Impact-Only Material</v>
      </c>
    </row>
    <row r="6" ht="25.5" customHeight="1">
      <c r="A6" s="12" t="s">
        <v>44</v>
      </c>
      <c r="B6" s="18" t="str">
        <f t="array" ref="B6">INDEX('ESG Topic List'!$C$2:$C$13,MATCH(A6,'ESG Topic List'!$A$2:$A$13,0))</f>
        <v>Energy Management (Coal Dependency)</v>
      </c>
      <c r="C6" s="32">
        <f t="array" ref="C6">INDEX('Financial Materiality Scoring'!$E$2:$E$13,MATCH(A6,'Financial Materiality Scoring'!$A$2:$A$13,0))</f>
        <v>16</v>
      </c>
      <c r="D6" s="35">
        <f t="array" ref="D6">INDEX('Impact Materiality Scoring'!$H$2:$H$13,MATCH(A6,'Impact Materiality Scoring'!$A$2:$A$13,0))</f>
        <v>8</v>
      </c>
      <c r="E6" s="36" t="str">
        <f t="shared" si="1"/>
        <v>Financial-Only Material</v>
      </c>
    </row>
    <row r="7" ht="25.5" customHeight="1">
      <c r="A7" s="16" t="s">
        <v>48</v>
      </c>
      <c r="B7" s="22" t="str">
        <f t="array" ref="B7">INDEX('ESG Topic List'!$C$2:$C$13,MATCH(A7,'ESG Topic List'!$A$2:$A$13,0))</f>
        <v>Occupational Health &amp; Safety</v>
      </c>
      <c r="C7" s="37">
        <f t="array" ref="C7">INDEX('Financial Materiality Scoring'!$E$2:$E$13,MATCH(A7,'Financial Materiality Scoring'!$A$2:$A$13,0))</f>
        <v>16</v>
      </c>
      <c r="D7" s="38">
        <f t="array" ref="D7">INDEX('Impact Materiality Scoring'!$H$2:$H$13,MATCH(A7,'Impact Materiality Scoring'!$A$2:$A$13,0))</f>
        <v>16</v>
      </c>
      <c r="E7" s="39" t="str">
        <f t="shared" si="1"/>
        <v>Double Material</v>
      </c>
    </row>
    <row r="8" ht="25.5" customHeight="1">
      <c r="A8" s="12" t="s">
        <v>52</v>
      </c>
      <c r="B8" s="18" t="str">
        <f t="array" ref="B8">INDEX('ESG Topic List'!$C$2:$C$13,MATCH(A8,'ESG Topic List'!$A$2:$A$13,0))</f>
        <v>Employee Diversity &amp; Inclusion</v>
      </c>
      <c r="C8" s="32">
        <f t="array" ref="C8">INDEX('Financial Materiality Scoring'!$E$2:$E$13,MATCH(A8,'Financial Materiality Scoring'!$A$2:$A$13,0))</f>
        <v>4</v>
      </c>
      <c r="D8" s="35">
        <f t="array" ref="D8">INDEX('Impact Materiality Scoring'!$H$2:$H$13,MATCH(A8,'Impact Materiality Scoring'!$A$2:$A$13,0))</f>
        <v>5</v>
      </c>
      <c r="E8" s="36" t="str">
        <f t="shared" si="1"/>
        <v>Not Material</v>
      </c>
    </row>
    <row r="9" ht="25.5" customHeight="1">
      <c r="A9" s="16" t="s">
        <v>55</v>
      </c>
      <c r="B9" s="22" t="str">
        <f t="array" ref="B9">INDEX('ESG Topic List'!$C$2:$C$13,MATCH(A9,'ESG Topic List'!$A$2:$A$13,0))</f>
        <v>Local Community Development &amp; Displacement</v>
      </c>
      <c r="C9" s="37">
        <f t="array" ref="C9">INDEX('Financial Materiality Scoring'!$E$2:$E$13,MATCH(A9,'Financial Materiality Scoring'!$A$2:$A$13,0))</f>
        <v>9</v>
      </c>
      <c r="D9" s="38">
        <f t="array" ref="D9">INDEX('Impact Materiality Scoring'!$H$2:$H$13,MATCH(A9,'Impact Materiality Scoring'!$A$2:$A$13,0))</f>
        <v>14.66666667</v>
      </c>
      <c r="E9" s="39" t="str">
        <f t="shared" si="1"/>
        <v>Impact-Only Material</v>
      </c>
    </row>
    <row r="10" ht="25.5" customHeight="1">
      <c r="A10" s="12" t="s">
        <v>58</v>
      </c>
      <c r="B10" s="18" t="str">
        <f t="array" ref="B10">INDEX('ESG Topic List'!$C$2:$C$13,MATCH(A10,'ESG Topic List'!$A$2:$A$13,0))</f>
        <v>Product Quality &amp; Customer Safety</v>
      </c>
      <c r="C10" s="32">
        <f t="array" ref="C10">INDEX('Financial Materiality Scoring'!$E$2:$E$13,MATCH(A10,'Financial Materiality Scoring'!$A$2:$A$13,0))</f>
        <v>12</v>
      </c>
      <c r="D10" s="35">
        <f t="array" ref="D10">INDEX('Impact Materiality Scoring'!$H$2:$H$13,MATCH(A10,'Impact Materiality Scoring'!$A$2:$A$13,0))</f>
        <v>8</v>
      </c>
      <c r="E10" s="36" t="str">
        <f t="shared" si="1"/>
        <v>Not Material</v>
      </c>
    </row>
    <row r="11" ht="25.5" customHeight="1">
      <c r="A11" s="16" t="s">
        <v>62</v>
      </c>
      <c r="B11" s="22" t="str">
        <f t="array" ref="B11">INDEX('ESG Topic List'!$C$2:$C$13,MATCH(A11,'ESG Topic List'!$A$2:$A$13,0))</f>
        <v>Cybersecurity Resilience</v>
      </c>
      <c r="C11" s="37">
        <f t="array" ref="C11">INDEX('Financial Materiality Scoring'!$E$2:$E$13,MATCH(A11,'Financial Materiality Scoring'!$A$2:$A$13,0))</f>
        <v>20</v>
      </c>
      <c r="D11" s="38">
        <f t="array" ref="D11">INDEX('Impact Materiality Scoring'!$H$2:$H$13,MATCH(A11,'Impact Materiality Scoring'!$A$2:$A$13,0))</f>
        <v>6</v>
      </c>
      <c r="E11" s="39" t="str">
        <f t="shared" si="1"/>
        <v>Financial-Only Material</v>
      </c>
    </row>
    <row r="12" ht="25.5" customHeight="1">
      <c r="A12" s="12" t="s">
        <v>67</v>
      </c>
      <c r="B12" s="18" t="str">
        <f t="array" ref="B12">INDEX('ESG Topic List'!$C$2:$C$13,MATCH(A12,'ESG Topic List'!$A$2:$A$13,0))</f>
        <v>Business Ethics &amp; Anti-Corruption</v>
      </c>
      <c r="C12" s="32">
        <f t="array" ref="C12">INDEX('Financial Materiality Scoring'!$E$2:$E$13,MATCH(A12,'Financial Materiality Scoring'!$A$2:$A$13,0))</f>
        <v>12</v>
      </c>
      <c r="D12" s="35">
        <f t="array" ref="D12">INDEX('Impact Materiality Scoring'!$H$2:$H$13,MATCH(A12,'Impact Materiality Scoring'!$A$2:$A$13,0))</f>
        <v>7</v>
      </c>
      <c r="E12" s="36" t="str">
        <f t="shared" si="1"/>
        <v>Not Material</v>
      </c>
    </row>
    <row r="13" ht="25.5" customHeight="1">
      <c r="A13" s="16" t="s">
        <v>71</v>
      </c>
      <c r="B13" s="22" t="str">
        <f t="array" ref="B13">INDEX('ESG Topic List'!$C$2:$C$13,MATCH(A13,'ESG Topic List'!$A$2:$A$13,0))</f>
        <v>Board Governance &amp; Climate Oversight</v>
      </c>
      <c r="C13" s="37">
        <f t="array" ref="C13">INDEX('Financial Materiality Scoring'!$E$2:$E$13,MATCH(A13,'Financial Materiality Scoring'!$A$2:$A$13,0))</f>
        <v>4</v>
      </c>
      <c r="D13" s="38">
        <f t="array" ref="D13">INDEX('Impact Materiality Scoring'!$H$2:$H$13,MATCH(A13,'Impact Materiality Scoring'!$A$2:$A$13,0))</f>
        <v>3.333333333</v>
      </c>
      <c r="E13" s="39" t="str">
        <f t="shared" si="1"/>
        <v>Not Material</v>
      </c>
    </row>
    <row r="15">
      <c r="A15" s="48" t="s">
        <v>162</v>
      </c>
    </row>
    <row r="16">
      <c r="A16" s="50" t="s">
        <v>159</v>
      </c>
      <c r="B16" s="52" t="s">
        <v>164</v>
      </c>
    </row>
    <row r="17">
      <c r="A17" s="50" t="s">
        <v>160</v>
      </c>
      <c r="B17" s="52" t="s">
        <v>165</v>
      </c>
    </row>
    <row r="18">
      <c r="A18" s="50" t="s">
        <v>161</v>
      </c>
      <c r="B18" s="52" t="s">
        <v>166</v>
      </c>
    </row>
    <row r="19">
      <c r="A19" s="50" t="s">
        <v>163</v>
      </c>
      <c r="B19" s="52" t="s">
        <v>167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6:E16"/>
    <mergeCell ref="B17:E17"/>
    <mergeCell ref="B18:E18"/>
    <mergeCell ref="B19:E19"/>
  </mergeCells>
  <conditionalFormatting sqref="E2:E13">
    <cfRule type="cellIs" dxfId="0" priority="1" operator="equal">
      <formula>"Double Material"</formula>
    </cfRule>
  </conditionalFormatting>
  <conditionalFormatting sqref="E2:E13">
    <cfRule type="cellIs" dxfId="1" priority="2" operator="equal">
      <formula>"Impact-Only Material"</formula>
    </cfRule>
  </conditionalFormatting>
  <conditionalFormatting sqref="E2:E13">
    <cfRule type="cellIs" dxfId="2" priority="3" operator="equal">
      <formula>"Financial-Only Material"</formula>
    </cfRule>
  </conditionalFormatting>
  <conditionalFormatting sqref="E2:E13">
    <cfRule type="cellIs" dxfId="3" priority="4" operator="equal">
      <formula>"Not Material"</formula>
    </cfRule>
  </conditionalFormatting>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71"/>
    <col customWidth="1" min="2" max="2" width="16.86"/>
    <col customWidth="1" min="3" max="3" width="10.43"/>
    <col customWidth="1" min="4" max="5" width="16.57"/>
    <col customWidth="1" min="6" max="6" width="4.43"/>
    <col customWidth="1" min="7" max="7" width="4.0"/>
    <col customWidth="1" min="8" max="9" width="18.0"/>
    <col customWidth="1" min="10" max="12" width="13.71"/>
    <col customWidth="1" min="13" max="26" width="8.71"/>
  </cols>
  <sheetData>
    <row r="1">
      <c r="A1" s="43" t="s">
        <v>150</v>
      </c>
    </row>
    <row r="2" ht="27.0" customHeight="1">
      <c r="A2" s="44" t="s">
        <v>20</v>
      </c>
      <c r="B2" s="44" t="s">
        <v>116</v>
      </c>
      <c r="C2" s="44" t="s">
        <v>117</v>
      </c>
      <c r="D2" s="44" t="s">
        <v>153</v>
      </c>
      <c r="E2" s="44" t="s">
        <v>155</v>
      </c>
    </row>
    <row r="3" ht="21.75" customHeight="1">
      <c r="A3" s="45" t="str">
        <f>'Double Materiality Matrix'!B2</f>
        <v>Climate Change (Scope 1 &amp; 2 GHG Emissions)</v>
      </c>
      <c r="B3" s="47">
        <f>'Double Materiality Matrix'!C2</f>
        <v>25</v>
      </c>
      <c r="C3" s="49">
        <f>'Double Materiality Matrix'!D2</f>
        <v>23.33333333</v>
      </c>
      <c r="D3" s="51"/>
      <c r="E3" s="51"/>
    </row>
    <row r="4" ht="21.75" customHeight="1">
      <c r="A4" s="53" t="str">
        <f>'Double Materiality Matrix'!B3</f>
        <v>Water Consumption &amp; Effluents</v>
      </c>
      <c r="B4" s="54">
        <f>'Double Materiality Matrix'!C3</f>
        <v>9</v>
      </c>
      <c r="C4" s="55">
        <f>'Double Materiality Matrix'!D3</f>
        <v>13.33333333</v>
      </c>
      <c r="D4" s="51"/>
      <c r="E4" s="51"/>
    </row>
    <row r="5" ht="21.75" customHeight="1">
      <c r="A5" s="45" t="str">
        <f>'Double Materiality Matrix'!B4</f>
        <v>Air Emissions (Dust, SOx, NOx)</v>
      </c>
      <c r="B5" s="47">
        <f>'Double Materiality Matrix'!C4</f>
        <v>9</v>
      </c>
      <c r="C5" s="49">
        <f>'Double Materiality Matrix'!D4</f>
        <v>12</v>
      </c>
      <c r="D5" s="51"/>
      <c r="E5" s="51"/>
    </row>
    <row r="6" ht="21.75" customHeight="1">
      <c r="A6" s="53" t="str">
        <f>'Double Materiality Matrix'!B5</f>
        <v>Biodiversity &amp; Mine Land Rehabilitation</v>
      </c>
      <c r="B6" s="54">
        <f>'Double Materiality Matrix'!C5</f>
        <v>4</v>
      </c>
      <c r="C6" s="55">
        <f>'Double Materiality Matrix'!D5</f>
        <v>17.33333333</v>
      </c>
      <c r="D6" s="51"/>
      <c r="E6" s="51"/>
    </row>
    <row r="7" ht="21.75" customHeight="1">
      <c r="A7" s="45" t="str">
        <f>'Double Materiality Matrix'!B6</f>
        <v>Energy Management (Coal Dependency)</v>
      </c>
      <c r="B7" s="47">
        <f>'Double Materiality Matrix'!C6</f>
        <v>16</v>
      </c>
      <c r="C7" s="49">
        <f>'Double Materiality Matrix'!D6</f>
        <v>8</v>
      </c>
      <c r="D7" s="51"/>
      <c r="E7" s="51"/>
    </row>
    <row r="8" ht="21.75" customHeight="1">
      <c r="A8" s="53" t="str">
        <f>'Double Materiality Matrix'!B7</f>
        <v>Occupational Health &amp; Safety</v>
      </c>
      <c r="B8" s="54">
        <f>'Double Materiality Matrix'!C7</f>
        <v>16</v>
      </c>
      <c r="C8" s="55">
        <f>'Double Materiality Matrix'!D7</f>
        <v>16</v>
      </c>
      <c r="D8" s="51"/>
      <c r="E8" s="51"/>
    </row>
    <row r="9" ht="27.75" customHeight="1">
      <c r="A9" s="45" t="str">
        <f>'Double Materiality Matrix'!B8</f>
        <v>Employee Diversity &amp; Inclusion</v>
      </c>
      <c r="B9" s="47">
        <f>'Double Materiality Matrix'!C8</f>
        <v>4</v>
      </c>
      <c r="C9" s="49">
        <f>'Double Materiality Matrix'!D8</f>
        <v>5</v>
      </c>
      <c r="D9" s="51"/>
      <c r="E9" s="51"/>
    </row>
    <row r="10" ht="21.75" customHeight="1">
      <c r="A10" s="53" t="str">
        <f>'Double Materiality Matrix'!B9</f>
        <v>Local Community Development &amp; Displacement</v>
      </c>
      <c r="B10" s="54">
        <f>'Double Materiality Matrix'!C9</f>
        <v>9</v>
      </c>
      <c r="C10" s="55">
        <f>'Double Materiality Matrix'!D9</f>
        <v>14.66666667</v>
      </c>
      <c r="D10" s="51"/>
      <c r="E10" s="51"/>
    </row>
    <row r="11" ht="21.75" customHeight="1">
      <c r="A11" s="45" t="str">
        <f>'Double Materiality Matrix'!B10</f>
        <v>Product Quality &amp; Customer Safety</v>
      </c>
      <c r="B11" s="47">
        <f>'Double Materiality Matrix'!C10</f>
        <v>12</v>
      </c>
      <c r="C11" s="49">
        <f>'Double Materiality Matrix'!D10</f>
        <v>8</v>
      </c>
      <c r="D11" s="51"/>
      <c r="E11" s="51"/>
    </row>
    <row r="12" ht="21.75" customHeight="1">
      <c r="A12" s="53" t="str">
        <f>'Double Materiality Matrix'!B11</f>
        <v>Cybersecurity Resilience</v>
      </c>
      <c r="B12" s="54">
        <f>'Double Materiality Matrix'!C11</f>
        <v>20</v>
      </c>
      <c r="C12" s="55">
        <f>'Double Materiality Matrix'!D11</f>
        <v>6</v>
      </c>
      <c r="D12" s="51"/>
      <c r="E12" s="51"/>
    </row>
    <row r="13" ht="21.75" customHeight="1">
      <c r="A13" s="45" t="str">
        <f>'Double Materiality Matrix'!B12</f>
        <v>Business Ethics &amp; Anti-Corruption</v>
      </c>
      <c r="B13" s="47">
        <f>'Double Materiality Matrix'!C12</f>
        <v>12</v>
      </c>
      <c r="C13" s="49">
        <f>'Double Materiality Matrix'!D12</f>
        <v>7</v>
      </c>
      <c r="D13" s="51"/>
      <c r="E13" s="51"/>
    </row>
    <row r="14" ht="21.75" customHeight="1">
      <c r="A14" s="53" t="str">
        <f>'Double Materiality Matrix'!B13</f>
        <v>Board Governance &amp; Climate Oversight</v>
      </c>
      <c r="B14" s="54">
        <f>'Double Materiality Matrix'!C13</f>
        <v>4</v>
      </c>
      <c r="C14" s="55">
        <f>'Double Materiality Matrix'!D13</f>
        <v>3.333333333</v>
      </c>
      <c r="D14" s="51"/>
      <c r="E14" s="51"/>
    </row>
    <row r="15">
      <c r="A15" s="56" t="s">
        <v>168</v>
      </c>
      <c r="B15" s="57">
        <v>12.5</v>
      </c>
      <c r="C15" s="58"/>
      <c r="D15" s="57">
        <v>0.0</v>
      </c>
      <c r="E15" s="59"/>
    </row>
    <row r="16">
      <c r="A16" s="56" t="s">
        <v>169</v>
      </c>
      <c r="B16" s="57">
        <v>12.5</v>
      </c>
      <c r="C16" s="58"/>
      <c r="D16" s="57">
        <v>25.0</v>
      </c>
      <c r="E16" s="59"/>
    </row>
    <row r="17">
      <c r="A17" s="56" t="s">
        <v>170</v>
      </c>
      <c r="B17" s="57">
        <v>0.0</v>
      </c>
      <c r="C17" s="58"/>
      <c r="D17" s="59"/>
      <c r="E17" s="57">
        <v>12.5</v>
      </c>
    </row>
    <row r="18">
      <c r="A18" s="56" t="s">
        <v>171</v>
      </c>
      <c r="B18" s="57">
        <v>25.0</v>
      </c>
      <c r="C18" s="58"/>
      <c r="D18" s="59"/>
      <c r="E18" s="57">
        <v>12.5</v>
      </c>
    </row>
    <row r="21" ht="15.75" customHeight="1"/>
    <row r="22" ht="15.75" customHeight="1"/>
    <row r="23" ht="18.0" customHeight="1">
      <c r="G23" s="60" t="s">
        <v>172</v>
      </c>
      <c r="H23" s="61"/>
      <c r="I23" s="61"/>
      <c r="J23" s="61"/>
      <c r="K23" s="61"/>
      <c r="L23" s="62"/>
    </row>
    <row r="24" ht="18.0" customHeight="1">
      <c r="G24" s="63" t="s">
        <v>173</v>
      </c>
      <c r="H24" s="64"/>
      <c r="I24" s="65"/>
      <c r="J24" s="66" t="s">
        <v>174</v>
      </c>
      <c r="K24" s="67"/>
      <c r="L24" s="68"/>
    </row>
    <row r="25" ht="18.0" customHeight="1">
      <c r="G25" s="69" t="s">
        <v>175</v>
      </c>
      <c r="I25" s="70"/>
      <c r="J25" s="71" t="s">
        <v>176</v>
      </c>
      <c r="L25" s="72"/>
    </row>
    <row r="26" ht="18.0" customHeight="1">
      <c r="G26" s="73" t="str">
        <f>"Topics: " &amp; COUNTIFS(C3:C14, "&gt;=12.5", B3:B14, "&lt;12.5") &amp; " (Water, Biodiversity, Community)"</f>
        <v>Topics: 3 (Water, Biodiversity, Community)</v>
      </c>
      <c r="I26" s="70"/>
      <c r="J26" s="74" t="str">
        <f>"Topics: " &amp; COUNTIFS(B3:B14, "&gt;=12.5", C3:C14, "&gt;=12.5") &amp; " (Climate Change, Health &amp; Safety)"</f>
        <v>Topics: 2 (Climate Change, Health &amp; Safety)</v>
      </c>
      <c r="L26" s="72"/>
    </row>
    <row r="27" ht="18.0" customHeight="1">
      <c r="G27" s="75" t="s">
        <v>177</v>
      </c>
      <c r="I27" s="70"/>
      <c r="J27" s="76" t="s">
        <v>178</v>
      </c>
      <c r="L27" s="72"/>
    </row>
    <row r="28" ht="18.0" customHeight="1">
      <c r="G28" s="77" t="s">
        <v>179</v>
      </c>
      <c r="H28" s="78"/>
      <c r="I28" s="79"/>
      <c r="J28" s="80" t="s">
        <v>180</v>
      </c>
      <c r="K28" s="81"/>
      <c r="L28" s="82"/>
    </row>
    <row r="29" ht="18.0" customHeight="1">
      <c r="G29" s="83" t="s">
        <v>181</v>
      </c>
      <c r="I29" s="84"/>
      <c r="J29" s="85" t="s">
        <v>182</v>
      </c>
      <c r="L29" s="86"/>
    </row>
    <row r="30" ht="18.0" customHeight="1">
      <c r="G30" s="87" t="str">
        <f>"Topics: " &amp; COUNTIFS(B3:B14, "&lt;12.5", C3:C14, "&lt;12.5") &amp; " (Air, D&amp;I, Ethics, Gov, Product)"</f>
        <v>Topics: 5 (Air, D&amp;I, Ethics, Gov, Product)</v>
      </c>
      <c r="I30" s="84"/>
      <c r="J30" s="88" t="str">
        <f>"Topics: " &amp; COUNTIFS(B3:B14, "&gt;=12.5", C3:C14, "&lt;12.5") &amp; " (Energy Mgmt, Cybersecurity)"</f>
        <v>Topics: 2 (Energy Mgmt, Cybersecurity)</v>
      </c>
      <c r="L30" s="86"/>
    </row>
    <row r="31" ht="18.0" customHeight="1">
      <c r="G31" s="89" t="s">
        <v>183</v>
      </c>
      <c r="H31" s="90"/>
      <c r="I31" s="91"/>
      <c r="J31" s="92" t="s">
        <v>184</v>
      </c>
      <c r="K31" s="93"/>
      <c r="L31" s="94"/>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G23:L23"/>
    <mergeCell ref="G24:I24"/>
    <mergeCell ref="J24:L24"/>
    <mergeCell ref="G25:I25"/>
    <mergeCell ref="J25:L25"/>
    <mergeCell ref="G26:I26"/>
    <mergeCell ref="J26:L26"/>
    <mergeCell ref="G30:I30"/>
    <mergeCell ref="G31:I31"/>
    <mergeCell ref="G27:I27"/>
    <mergeCell ref="J27:L27"/>
    <mergeCell ref="G28:I28"/>
    <mergeCell ref="J28:L28"/>
    <mergeCell ref="G29:I29"/>
    <mergeCell ref="J29:L29"/>
    <mergeCell ref="J30:L30"/>
    <mergeCell ref="J31:L31"/>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8.0"/>
    <col customWidth="1" min="2" max="2" width="18.0"/>
    <col customWidth="1" min="3" max="3" width="45.0"/>
    <col customWidth="1" min="4" max="10" width="8.71"/>
    <col customWidth="1" min="11" max="11" width="9.0"/>
    <col customWidth="1" min="12" max="26" width="8.71"/>
  </cols>
  <sheetData>
    <row r="1" ht="25.5" customHeight="1">
      <c r="A1" s="1" t="s">
        <v>131</v>
      </c>
    </row>
    <row r="3">
      <c r="A3" s="8" t="s">
        <v>132</v>
      </c>
      <c r="B3" s="8" t="s">
        <v>133</v>
      </c>
      <c r="C3" s="8" t="s">
        <v>134</v>
      </c>
    </row>
    <row r="4" ht="24.0" customHeight="1">
      <c r="A4" s="3" t="s">
        <v>135</v>
      </c>
      <c r="B4" s="41">
        <f>COUNTA('ESG Topic List'!A2:A13)</f>
        <v>12</v>
      </c>
      <c r="C4" s="27" t="s">
        <v>136</v>
      </c>
    </row>
    <row r="5" ht="24.0" customHeight="1">
      <c r="A5" s="3" t="s">
        <v>137</v>
      </c>
      <c r="B5" s="41">
        <f>COUNTIF('Double Materiality Matrix'!E2:E13,"Double Material")</f>
        <v>2</v>
      </c>
      <c r="C5" s="27" t="s">
        <v>138</v>
      </c>
    </row>
    <row r="6" ht="24.0" customHeight="1">
      <c r="A6" s="3" t="s">
        <v>139</v>
      </c>
      <c r="B6" s="41">
        <f>COUNTIF('Double Materiality Matrix'!E2:E13,"Impact-Only Material")</f>
        <v>3</v>
      </c>
      <c r="C6" s="27" t="s">
        <v>140</v>
      </c>
    </row>
    <row r="7" ht="24.0" customHeight="1">
      <c r="A7" s="3" t="s">
        <v>141</v>
      </c>
      <c r="B7" s="41">
        <f>COUNTIF('Double Materiality Matrix'!E2:E13,"Financial-Only Material")</f>
        <v>2</v>
      </c>
      <c r="C7" s="27" t="s">
        <v>142</v>
      </c>
    </row>
    <row r="8" ht="24.0" customHeight="1">
      <c r="A8" s="3" t="s">
        <v>143</v>
      </c>
      <c r="B8" s="41">
        <f>COUNTIF('Double Materiality Matrix'!E2:E13,"Not Material")</f>
        <v>5</v>
      </c>
      <c r="C8" s="27" t="s">
        <v>144</v>
      </c>
    </row>
    <row r="9" ht="24.0" customHeight="1">
      <c r="A9" s="3" t="s">
        <v>145</v>
      </c>
      <c r="B9" s="42">
        <f>AVERAGE('Double Materiality Matrix'!C2:C13)</f>
        <v>11.66666667</v>
      </c>
      <c r="C9" s="27" t="s">
        <v>146</v>
      </c>
    </row>
    <row r="10" ht="24.0" customHeight="1">
      <c r="A10" s="3" t="s">
        <v>147</v>
      </c>
      <c r="B10" s="42">
        <f>AVERAGE('Double Materiality Matrix'!D2:D13)</f>
        <v>11.16666667</v>
      </c>
      <c r="C10" s="27" t="s">
        <v>148</v>
      </c>
    </row>
    <row r="11" ht="24.0" customHeight="1">
      <c r="A11" s="3" t="s">
        <v>149</v>
      </c>
      <c r="B11" s="42">
        <f>MAX('Double Materiality Matrix'!C2:C13)</f>
        <v>25</v>
      </c>
      <c r="C11" s="27" t="s">
        <v>151</v>
      </c>
    </row>
    <row r="12" ht="24.0" customHeight="1">
      <c r="A12" s="3" t="s">
        <v>152</v>
      </c>
      <c r="B12" s="42">
        <f>MAX('Double Materiality Matrix'!D2:D13)</f>
        <v>23.33333333</v>
      </c>
      <c r="C12" s="27" t="s">
        <v>154</v>
      </c>
    </row>
    <row r="14">
      <c r="A14" s="43" t="s">
        <v>156</v>
      </c>
    </row>
    <row r="15">
      <c r="A15" s="8" t="s">
        <v>157</v>
      </c>
      <c r="B15" s="8" t="s">
        <v>158</v>
      </c>
    </row>
    <row r="16">
      <c r="A16" s="16" t="s">
        <v>159</v>
      </c>
      <c r="B16" s="46">
        <f>COUNTIF('Double Materiality Matrix'!E2:E13,A16)</f>
        <v>2</v>
      </c>
    </row>
    <row r="17">
      <c r="A17" s="16" t="s">
        <v>160</v>
      </c>
      <c r="B17" s="46">
        <f>COUNTIF('Double Materiality Matrix'!E2:E13,A17)</f>
        <v>3</v>
      </c>
    </row>
    <row r="18">
      <c r="A18" s="16" t="s">
        <v>161</v>
      </c>
      <c r="B18" s="46">
        <f>COUNTIF('Double Materiality Matrix'!E2:E13,A18)</f>
        <v>2</v>
      </c>
    </row>
    <row r="19">
      <c r="A19" s="16" t="s">
        <v>163</v>
      </c>
      <c r="B19" s="46">
        <f>COUNTIF('Double Materiality Matrix'!E2:E13,A19)</f>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paperSize="9" orientation="portrait"/>
  <drawing r:id="rId1"/>
</worksheet>
</file>